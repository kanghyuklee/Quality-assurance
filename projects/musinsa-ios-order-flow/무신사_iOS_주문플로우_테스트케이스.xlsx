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테스트케이스" sheetId="2" state="visible" r:id="rId2"/>
    <sheet name="테스트 데이터" sheetId="3" state="visible" r:id="rId3"/>
    <sheet name="질의사항" sheetId="4" state="visible" r:id="rId4"/>
    <sheet name="모바일 체크리스트" sheetId="5" state="visible" r:id="rId5"/>
    <sheet name="결함 리포트" sheetId="6" state="visible" r:id="rId6"/>
  </sheets>
  <definedNames>
    <definedName name="_xlnm._FilterDatabase" localSheetId="1" hidden="1">'테스트케이스'!$A$1:$T$91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sz val="9"/>
    </font>
    <font>
      <name val="Arial"/>
      <i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FF674EA7"/>
      </patternFill>
    </fill>
    <fill>
      <patternFill patternType="solid">
        <fgColor rgb="FFFFF2CC"/>
      </patternFill>
    </fill>
    <fill>
      <patternFill patternType="solid">
        <fgColor rgb="FFEFEFE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60" customWidth="1" min="10" max="10"/>
  </cols>
  <sheetData>
    <row r="1">
      <c r="A1" s="1" t="inlineStr">
        <is>
          <t>무신사 iOS 앱 주문 플로우 테스트 케이스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- 요구사항 15건(REQ-01~15)은 무신사 공개 정책(고객센터 FAQ·이용 안내, 2026-10-25 조회)에서 역도출. 질의사항 12건(Q01~Q12)은 앱 동작으로 확정하며 기대결과에 'Qn 회신 후 확정' 표기</t>
        </is>
      </c>
    </row>
    <row r="3">
      <c r="A3" s="4" t="inlineStr">
        <is>
          <t>- 설계 근거: 요구사항(공개 정책에서 직접 도출) / 리스크 기반(정책 외, 금액·주문 상태 영향 큼) / 추가 검증(범위 외 품질 확인)</t>
        </is>
      </c>
    </row>
    <row r="4">
      <c r="A4" s="4" t="inlineStr">
        <is>
          <t>- 입력: '테스트케이스' 시트 노란 칸. 결과는 Pass/Fail/Blocked/N/A 선택. 집계는 자동 계산</t>
        </is>
      </c>
    </row>
    <row r="5">
      <c r="A5" s="4" t="inlineStr">
        <is>
          <t>- 실행 구분: 비결제(결제 승인 전까지) / 실결제(소액 1건, 완료 후 즉시 취소) / 장기(48시간 대기 등). 자동화 구분: API / UI / 수동 — 계획서 8장 자동화 전략의 계층 배치</t>
        </is>
      </c>
    </row>
    <row r="7">
      <c r="A7" s="5" t="inlineStr">
        <is>
          <t>대분류</t>
        </is>
      </c>
      <c r="B7" s="5" t="inlineStr">
        <is>
          <t>TC 수</t>
        </is>
      </c>
      <c r="C7" s="5" t="inlineStr">
        <is>
          <t>P1</t>
        </is>
      </c>
      <c r="D7" s="5" t="inlineStr">
        <is>
          <t>P2</t>
        </is>
      </c>
      <c r="E7" s="5" t="inlineStr">
        <is>
          <t>P3</t>
        </is>
      </c>
      <c r="F7" s="5" t="inlineStr">
        <is>
          <t>Pass</t>
        </is>
      </c>
      <c r="G7" s="5" t="inlineStr">
        <is>
          <t>Fail</t>
        </is>
      </c>
      <c r="H7" s="5" t="inlineStr">
        <is>
          <t>Blocked</t>
        </is>
      </c>
      <c r="I7" s="5" t="inlineStr">
        <is>
          <t>미완료</t>
        </is>
      </c>
    </row>
    <row r="8">
      <c r="A8" s="6" t="inlineStr">
        <is>
          <t>장바구니</t>
        </is>
      </c>
      <c r="B8" s="6">
        <f>COUNTIF('테스트케이스'!$B$2:$B$91,A8)</f>
        <v/>
      </c>
      <c r="C8" s="6">
        <f>COUNTIFS('테스트케이스'!$B$2:$B$91,$A8,'테스트케이스'!$H$2:$H$91,"P1")</f>
        <v/>
      </c>
      <c r="D8" s="6">
        <f>COUNTIFS('테스트케이스'!$B$2:$B$91,$A8,'테스트케이스'!$H$2:$H$91,"P2")</f>
        <v/>
      </c>
      <c r="E8" s="6">
        <f>COUNTIFS('테스트케이스'!$B$2:$B$91,$A8,'테스트케이스'!$H$2:$H$91,"P3")</f>
        <v/>
      </c>
      <c r="F8" s="6">
        <f>COUNTIFS('테스트케이스'!$B$2:$B$91,$A8,'테스트케이스'!$N$2:$N$91,"Pass")</f>
        <v/>
      </c>
      <c r="G8" s="6">
        <f>COUNTIFS('테스트케이스'!$B$2:$B$91,$A8,'테스트케이스'!$N$2:$N$91,"Fail")</f>
        <v/>
      </c>
      <c r="H8" s="6">
        <f>COUNTIFS('테스트케이스'!$B$2:$B$91,$A8,'테스트케이스'!$N$2:$N$91,"Blocked")</f>
        <v/>
      </c>
      <c r="I8" s="6">
        <f>B8-F8-G8-H8-COUNTIFS('테스트케이스'!$B$2:$B$91,$A8,'테스트케이스'!$N$2:$N$91,"N/A")</f>
        <v/>
      </c>
    </row>
    <row r="9">
      <c r="A9" s="6" t="inlineStr">
        <is>
          <t>주문서·금액</t>
        </is>
      </c>
      <c r="B9" s="6">
        <f>COUNTIF('테스트케이스'!$B$2:$B$91,A9)</f>
        <v/>
      </c>
      <c r="C9" s="6">
        <f>COUNTIFS('테스트케이스'!$B$2:$B$91,$A9,'테스트케이스'!$H$2:$H$91,"P1")</f>
        <v/>
      </c>
      <c r="D9" s="6">
        <f>COUNTIFS('테스트케이스'!$B$2:$B$91,$A9,'테스트케이스'!$H$2:$H$91,"P2")</f>
        <v/>
      </c>
      <c r="E9" s="6">
        <f>COUNTIFS('테스트케이스'!$B$2:$B$91,$A9,'테스트케이스'!$H$2:$H$91,"P3")</f>
        <v/>
      </c>
      <c r="F9" s="6">
        <f>COUNTIFS('테스트케이스'!$B$2:$B$91,$A9,'테스트케이스'!$N$2:$N$91,"Pass")</f>
        <v/>
      </c>
      <c r="G9" s="6">
        <f>COUNTIFS('테스트케이스'!$B$2:$B$91,$A9,'테스트케이스'!$N$2:$N$91,"Fail")</f>
        <v/>
      </c>
      <c r="H9" s="6">
        <f>COUNTIFS('테스트케이스'!$B$2:$B$91,$A9,'테스트케이스'!$N$2:$N$91,"Blocked")</f>
        <v/>
      </c>
      <c r="I9" s="6">
        <f>B9-F9-G9-H9-COUNTIFS('테스트케이스'!$B$2:$B$91,$A9,'테스트케이스'!$N$2:$N$91,"N/A")</f>
        <v/>
      </c>
    </row>
    <row r="10">
      <c r="A10" s="6" t="inlineStr">
        <is>
          <t>쿠폰</t>
        </is>
      </c>
      <c r="B10" s="6">
        <f>COUNTIF('테스트케이스'!$B$2:$B$91,A10)</f>
        <v/>
      </c>
      <c r="C10" s="6">
        <f>COUNTIFS('테스트케이스'!$B$2:$B$91,$A10,'테스트케이스'!$H$2:$H$91,"P1")</f>
        <v/>
      </c>
      <c r="D10" s="6">
        <f>COUNTIFS('테스트케이스'!$B$2:$B$91,$A10,'테스트케이스'!$H$2:$H$91,"P2")</f>
        <v/>
      </c>
      <c r="E10" s="6">
        <f>COUNTIFS('테스트케이스'!$B$2:$B$91,$A10,'테스트케이스'!$H$2:$H$91,"P3")</f>
        <v/>
      </c>
      <c r="F10" s="6">
        <f>COUNTIFS('테스트케이스'!$B$2:$B$91,$A10,'테스트케이스'!$N$2:$N$91,"Pass")</f>
        <v/>
      </c>
      <c r="G10" s="6">
        <f>COUNTIFS('테스트케이스'!$B$2:$B$91,$A10,'테스트케이스'!$N$2:$N$91,"Fail")</f>
        <v/>
      </c>
      <c r="H10" s="6">
        <f>COUNTIFS('테스트케이스'!$B$2:$B$91,$A10,'테스트케이스'!$N$2:$N$91,"Blocked")</f>
        <v/>
      </c>
      <c r="I10" s="6">
        <f>B10-F10-G10-H10-COUNTIFS('테스트케이스'!$B$2:$B$91,$A10,'테스트케이스'!$N$2:$N$91,"N/A")</f>
        <v/>
      </c>
    </row>
    <row r="11">
      <c r="A11" s="6" t="inlineStr">
        <is>
          <t>적립금</t>
        </is>
      </c>
      <c r="B11" s="6">
        <f>COUNTIF('테스트케이스'!$B$2:$B$91,A11)</f>
        <v/>
      </c>
      <c r="C11" s="6">
        <f>COUNTIFS('테스트케이스'!$B$2:$B$91,$A11,'테스트케이스'!$H$2:$H$91,"P1")</f>
        <v/>
      </c>
      <c r="D11" s="6">
        <f>COUNTIFS('테스트케이스'!$B$2:$B$91,$A11,'테스트케이스'!$H$2:$H$91,"P2")</f>
        <v/>
      </c>
      <c r="E11" s="6">
        <f>COUNTIFS('테스트케이스'!$B$2:$B$91,$A11,'테스트케이스'!$H$2:$H$91,"P3")</f>
        <v/>
      </c>
      <c r="F11" s="6">
        <f>COUNTIFS('테스트케이스'!$B$2:$B$91,$A11,'테스트케이스'!$N$2:$N$91,"Pass")</f>
        <v/>
      </c>
      <c r="G11" s="6">
        <f>COUNTIFS('테스트케이스'!$B$2:$B$91,$A11,'테스트케이스'!$N$2:$N$91,"Fail")</f>
        <v/>
      </c>
      <c r="H11" s="6">
        <f>COUNTIFS('테스트케이스'!$B$2:$B$91,$A11,'테스트케이스'!$N$2:$N$91,"Blocked")</f>
        <v/>
      </c>
      <c r="I11" s="6">
        <f>B11-F11-G11-H11-COUNTIFS('테스트케이스'!$B$2:$B$91,$A11,'테스트케이스'!$N$2:$N$91,"N/A")</f>
        <v/>
      </c>
    </row>
    <row r="12">
      <c r="A12" s="6" t="inlineStr">
        <is>
          <t>배송지·배송비</t>
        </is>
      </c>
      <c r="B12" s="6">
        <f>COUNTIF('테스트케이스'!$B$2:$B$91,A12)</f>
        <v/>
      </c>
      <c r="C12" s="6">
        <f>COUNTIFS('테스트케이스'!$B$2:$B$91,$A12,'테스트케이스'!$H$2:$H$91,"P1")</f>
        <v/>
      </c>
      <c r="D12" s="6">
        <f>COUNTIFS('테스트케이스'!$B$2:$B$91,$A12,'테스트케이스'!$H$2:$H$91,"P2")</f>
        <v/>
      </c>
      <c r="E12" s="6">
        <f>COUNTIFS('테스트케이스'!$B$2:$B$91,$A12,'테스트케이스'!$H$2:$H$91,"P3")</f>
        <v/>
      </c>
      <c r="F12" s="6">
        <f>COUNTIFS('테스트케이스'!$B$2:$B$91,$A12,'테스트케이스'!$N$2:$N$91,"Pass")</f>
        <v/>
      </c>
      <c r="G12" s="6">
        <f>COUNTIFS('테스트케이스'!$B$2:$B$91,$A12,'테스트케이스'!$N$2:$N$91,"Fail")</f>
        <v/>
      </c>
      <c r="H12" s="6">
        <f>COUNTIFS('테스트케이스'!$B$2:$B$91,$A12,'테스트케이스'!$N$2:$N$91,"Blocked")</f>
        <v/>
      </c>
      <c r="I12" s="6">
        <f>B12-F12-G12-H12-COUNTIFS('테스트케이스'!$B$2:$B$91,$A12,'테스트케이스'!$N$2:$N$91,"N/A")</f>
        <v/>
      </c>
    </row>
    <row r="13">
      <c r="A13" s="6" t="inlineStr">
        <is>
          <t>결제수단</t>
        </is>
      </c>
      <c r="B13" s="6">
        <f>COUNTIF('테스트케이스'!$B$2:$B$91,A13)</f>
        <v/>
      </c>
      <c r="C13" s="6">
        <f>COUNTIFS('테스트케이스'!$B$2:$B$91,$A13,'테스트케이스'!$H$2:$H$91,"P1")</f>
        <v/>
      </c>
      <c r="D13" s="6">
        <f>COUNTIFS('테스트케이스'!$B$2:$B$91,$A13,'테스트케이스'!$H$2:$H$91,"P2")</f>
        <v/>
      </c>
      <c r="E13" s="6">
        <f>COUNTIFS('테스트케이스'!$B$2:$B$91,$A13,'테스트케이스'!$H$2:$H$91,"P3")</f>
        <v/>
      </c>
      <c r="F13" s="6">
        <f>COUNTIFS('테스트케이스'!$B$2:$B$91,$A13,'테스트케이스'!$N$2:$N$91,"Pass")</f>
        <v/>
      </c>
      <c r="G13" s="6">
        <f>COUNTIFS('테스트케이스'!$B$2:$B$91,$A13,'테스트케이스'!$N$2:$N$91,"Fail")</f>
        <v/>
      </c>
      <c r="H13" s="6">
        <f>COUNTIFS('테스트케이스'!$B$2:$B$91,$A13,'테스트케이스'!$N$2:$N$91,"Blocked")</f>
        <v/>
      </c>
      <c r="I13" s="6">
        <f>B13-F13-G13-H13-COUNTIFS('테스트케이스'!$B$2:$B$91,$A13,'테스트케이스'!$N$2:$N$91,"N/A")</f>
        <v/>
      </c>
    </row>
    <row r="14">
      <c r="A14" s="6" t="inlineStr">
        <is>
          <t>주문 취소·상태</t>
        </is>
      </c>
      <c r="B14" s="6">
        <f>COUNTIF('테스트케이스'!$B$2:$B$91,A14)</f>
        <v/>
      </c>
      <c r="C14" s="6">
        <f>COUNTIFS('테스트케이스'!$B$2:$B$91,$A14,'테스트케이스'!$H$2:$H$91,"P1")</f>
        <v/>
      </c>
      <c r="D14" s="6">
        <f>COUNTIFS('테스트케이스'!$B$2:$B$91,$A14,'테스트케이스'!$H$2:$H$91,"P2")</f>
        <v/>
      </c>
      <c r="E14" s="6">
        <f>COUNTIFS('테스트케이스'!$B$2:$B$91,$A14,'테스트케이스'!$H$2:$H$91,"P3")</f>
        <v/>
      </c>
      <c r="F14" s="6">
        <f>COUNTIFS('테스트케이스'!$B$2:$B$91,$A14,'테스트케이스'!$N$2:$N$91,"Pass")</f>
        <v/>
      </c>
      <c r="G14" s="6">
        <f>COUNTIFS('테스트케이스'!$B$2:$B$91,$A14,'테스트케이스'!$N$2:$N$91,"Fail")</f>
        <v/>
      </c>
      <c r="H14" s="6">
        <f>COUNTIFS('테스트케이스'!$B$2:$B$91,$A14,'테스트케이스'!$N$2:$N$91,"Blocked")</f>
        <v/>
      </c>
      <c r="I14" s="6">
        <f>B14-F14-G14-H14-COUNTIFS('테스트케이스'!$B$2:$B$91,$A14,'테스트케이스'!$N$2:$N$91,"N/A")</f>
        <v/>
      </c>
    </row>
    <row r="15">
      <c r="A15" s="6" t="inlineStr">
        <is>
          <t>모바일 특화</t>
        </is>
      </c>
      <c r="B15" s="6">
        <f>COUNTIF('테스트케이스'!$B$2:$B$91,A15)</f>
        <v/>
      </c>
      <c r="C15" s="6">
        <f>COUNTIFS('테스트케이스'!$B$2:$B$91,$A15,'테스트케이스'!$H$2:$H$91,"P1")</f>
        <v/>
      </c>
      <c r="D15" s="6">
        <f>COUNTIFS('테스트케이스'!$B$2:$B$91,$A15,'테스트케이스'!$H$2:$H$91,"P2")</f>
        <v/>
      </c>
      <c r="E15" s="6">
        <f>COUNTIFS('테스트케이스'!$B$2:$B$91,$A15,'테스트케이스'!$H$2:$H$91,"P3")</f>
        <v/>
      </c>
      <c r="F15" s="6">
        <f>COUNTIFS('테스트케이스'!$B$2:$B$91,$A15,'테스트케이스'!$N$2:$N$91,"Pass")</f>
        <v/>
      </c>
      <c r="G15" s="6">
        <f>COUNTIFS('테스트케이스'!$B$2:$B$91,$A15,'테스트케이스'!$N$2:$N$91,"Fail")</f>
        <v/>
      </c>
      <c r="H15" s="6">
        <f>COUNTIFS('테스트케이스'!$B$2:$B$91,$A15,'테스트케이스'!$N$2:$N$91,"Blocked")</f>
        <v/>
      </c>
      <c r="I15" s="6">
        <f>B15-F15-G15-H15-COUNTIFS('테스트케이스'!$B$2:$B$91,$A15,'테스트케이스'!$N$2:$N$91,"N/A")</f>
        <v/>
      </c>
    </row>
    <row r="16">
      <c r="A16" s="6" t="inlineStr">
        <is>
          <t>보안·입력 검증</t>
        </is>
      </c>
      <c r="B16" s="6">
        <f>COUNTIF('테스트케이스'!$B$2:$B$91,A16)</f>
        <v/>
      </c>
      <c r="C16" s="6">
        <f>COUNTIFS('테스트케이스'!$B$2:$B$91,$A16,'테스트케이스'!$H$2:$H$91,"P1")</f>
        <v/>
      </c>
      <c r="D16" s="6">
        <f>COUNTIFS('테스트케이스'!$B$2:$B$91,$A16,'테스트케이스'!$H$2:$H$91,"P2")</f>
        <v/>
      </c>
      <c r="E16" s="6">
        <f>COUNTIFS('테스트케이스'!$B$2:$B$91,$A16,'테스트케이스'!$H$2:$H$91,"P3")</f>
        <v/>
      </c>
      <c r="F16" s="6">
        <f>COUNTIFS('테스트케이스'!$B$2:$B$91,$A16,'테스트케이스'!$N$2:$N$91,"Pass")</f>
        <v/>
      </c>
      <c r="G16" s="6">
        <f>COUNTIFS('테스트케이스'!$B$2:$B$91,$A16,'테스트케이스'!$N$2:$N$91,"Fail")</f>
        <v/>
      </c>
      <c r="H16" s="6">
        <f>COUNTIFS('테스트케이스'!$B$2:$B$91,$A16,'테스트케이스'!$N$2:$N$91,"Blocked")</f>
        <v/>
      </c>
      <c r="I16" s="6">
        <f>B16-F16-G16-H16-COUNTIFS('테스트케이스'!$B$2:$B$91,$A16,'테스트케이스'!$N$2:$N$91,"N/A")</f>
        <v/>
      </c>
    </row>
    <row r="17">
      <c r="A17" s="6" t="inlineStr">
        <is>
          <t>호환성·접근성</t>
        </is>
      </c>
      <c r="B17" s="6">
        <f>COUNTIF('테스트케이스'!$B$2:$B$91,A17)</f>
        <v/>
      </c>
      <c r="C17" s="6">
        <f>COUNTIFS('테스트케이스'!$B$2:$B$91,$A17,'테스트케이스'!$H$2:$H$91,"P1")</f>
        <v/>
      </c>
      <c r="D17" s="6">
        <f>COUNTIFS('테스트케이스'!$B$2:$B$91,$A17,'테스트케이스'!$H$2:$H$91,"P2")</f>
        <v/>
      </c>
      <c r="E17" s="6">
        <f>COUNTIFS('테스트케이스'!$B$2:$B$91,$A17,'테스트케이스'!$H$2:$H$91,"P3")</f>
        <v/>
      </c>
      <c r="F17" s="6">
        <f>COUNTIFS('테스트케이스'!$B$2:$B$91,$A17,'테스트케이스'!$N$2:$N$91,"Pass")</f>
        <v/>
      </c>
      <c r="G17" s="6">
        <f>COUNTIFS('테스트케이스'!$B$2:$B$91,$A17,'테스트케이스'!$N$2:$N$91,"Fail")</f>
        <v/>
      </c>
      <c r="H17" s="6">
        <f>COUNTIFS('테스트케이스'!$B$2:$B$91,$A17,'테스트케이스'!$N$2:$N$91,"Blocked")</f>
        <v/>
      </c>
      <c r="I17" s="6">
        <f>B17-F17-G17-H17-COUNTIFS('테스트케이스'!$B$2:$B$91,$A17,'테스트케이스'!$N$2:$N$91,"N/A")</f>
        <v/>
      </c>
    </row>
    <row r="18">
      <c r="A18" s="7" t="inlineStr">
        <is>
          <t>합계</t>
        </is>
      </c>
      <c r="B18" s="7">
        <f>SUM(B8:B17)</f>
        <v/>
      </c>
      <c r="C18" s="7">
        <f>SUM(C8:C17)</f>
        <v/>
      </c>
      <c r="D18" s="7">
        <f>SUM(D8:D17)</f>
        <v/>
      </c>
      <c r="E18" s="7">
        <f>SUM(E8:E17)</f>
        <v/>
      </c>
      <c r="F18" s="7">
        <f>SUM(F8:F17)</f>
        <v/>
      </c>
      <c r="G18" s="7">
        <f>SUM(G8:G17)</f>
        <v/>
      </c>
      <c r="H18" s="7">
        <f>SUM(H8:H17)</f>
        <v/>
      </c>
      <c r="I18" s="7">
        <f>SUM(I8:I17)</f>
        <v/>
      </c>
    </row>
    <row r="19">
      <c r="A19" s="8" t="inlineStr">
        <is>
          <t>수행률</t>
        </is>
      </c>
      <c r="B19" s="9">
        <f>IF(B18=0,0,(F18+G18+H18)/B18)</f>
        <v/>
      </c>
      <c r="C19" s="8" t="inlineStr">
        <is>
          <t>Pass율</t>
        </is>
      </c>
      <c r="D19" s="9">
        <f>IF((F18+G18)=0,0,F18/(F18+G18))</f>
        <v/>
      </c>
      <c r="E19" s="10" t="inlineStr">
        <is>
          <t>수행률 = (Pass+Fail+Blocked)/TC 수, Pass율 = Pass/(Pass+Fail)</t>
        </is>
      </c>
    </row>
    <row r="21">
      <c r="A21" s="11" t="inlineStr">
        <is>
          <t>설계 근거별 분포</t>
        </is>
      </c>
    </row>
    <row r="22">
      <c r="A22" s="5" t="inlineStr">
        <is>
          <t>설계 근거</t>
        </is>
      </c>
      <c r="B22" s="5" t="inlineStr">
        <is>
          <t>TC 수</t>
        </is>
      </c>
      <c r="C22" s="5" t="inlineStr">
        <is>
          <t>P1</t>
        </is>
      </c>
      <c r="D22" s="5" t="inlineStr">
        <is>
          <t>P2</t>
        </is>
      </c>
      <c r="E22" s="5" t="inlineStr">
        <is>
          <t>P3</t>
        </is>
      </c>
      <c r="F22" s="5" t="inlineStr">
        <is>
          <t>비율</t>
        </is>
      </c>
    </row>
    <row r="23">
      <c r="A23" s="6" t="inlineStr">
        <is>
          <t>요구사항</t>
        </is>
      </c>
      <c r="B23" s="6">
        <f>COUNTIF('테스트케이스'!$E$2:$E$91,A23)</f>
        <v/>
      </c>
      <c r="C23" s="6">
        <f>COUNTIFS('테스트케이스'!$E$2:$E$91,$A23,'테스트케이스'!$H$2:$H$91,"P1")</f>
        <v/>
      </c>
      <c r="D23" s="6">
        <f>COUNTIFS('테스트케이스'!$E$2:$E$91,$A23,'테스트케이스'!$H$2:$H$91,"P2")</f>
        <v/>
      </c>
      <c r="E23" s="6">
        <f>COUNTIFS('테스트케이스'!$E$2:$E$91,$A23,'테스트케이스'!$H$2:$H$91,"P3")</f>
        <v/>
      </c>
      <c r="F23" s="9">
        <f>IF($B$18=0,0,B23/$B$18)</f>
        <v/>
      </c>
    </row>
    <row r="24">
      <c r="A24" s="6" t="inlineStr">
        <is>
          <t>리스크 기반</t>
        </is>
      </c>
      <c r="B24" s="6">
        <f>COUNTIF('테스트케이스'!$E$2:$E$91,A24)</f>
        <v/>
      </c>
      <c r="C24" s="6">
        <f>COUNTIFS('테스트케이스'!$E$2:$E$91,$A24,'테스트케이스'!$H$2:$H$91,"P1")</f>
        <v/>
      </c>
      <c r="D24" s="6">
        <f>COUNTIFS('테스트케이스'!$E$2:$E$91,$A24,'테스트케이스'!$H$2:$H$91,"P2")</f>
        <v/>
      </c>
      <c r="E24" s="6">
        <f>COUNTIFS('테스트케이스'!$E$2:$E$91,$A24,'테스트케이스'!$H$2:$H$91,"P3")</f>
        <v/>
      </c>
      <c r="F24" s="9">
        <f>IF($B$18=0,0,B24/$B$18)</f>
        <v/>
      </c>
    </row>
    <row r="25">
      <c r="A25" s="6" t="inlineStr">
        <is>
          <t>추가 검증</t>
        </is>
      </c>
      <c r="B25" s="6">
        <f>COUNTIF('테스트케이스'!$E$2:$E$91,A25)</f>
        <v/>
      </c>
      <c r="C25" s="6">
        <f>COUNTIFS('테스트케이스'!$E$2:$E$91,$A25,'테스트케이스'!$H$2:$H$91,"P1")</f>
        <v/>
      </c>
      <c r="D25" s="6">
        <f>COUNTIFS('테스트케이스'!$E$2:$E$91,$A25,'테스트케이스'!$H$2:$H$91,"P2")</f>
        <v/>
      </c>
      <c r="E25" s="6">
        <f>COUNTIFS('테스트케이스'!$E$2:$E$91,$A25,'테스트케이스'!$H$2:$H$91,"P3")</f>
        <v/>
      </c>
      <c r="F25" s="9">
        <f>IF($B$18=0,0,B25/$B$18)</f>
        <v/>
      </c>
    </row>
    <row r="27">
      <c r="A27" s="11" t="inlineStr">
        <is>
          <t>실행 구분별 결과</t>
        </is>
      </c>
    </row>
    <row r="28">
      <c r="A28" s="5" t="inlineStr">
        <is>
          <t>실행 구분</t>
        </is>
      </c>
      <c r="B28" s="5" t="inlineStr">
        <is>
          <t>대상 TC</t>
        </is>
      </c>
      <c r="C28" s="5" t="inlineStr">
        <is>
          <t>Pass</t>
        </is>
      </c>
      <c r="D28" s="5" t="inlineStr">
        <is>
          <t>Fail</t>
        </is>
      </c>
      <c r="E28" s="5" t="inlineStr">
        <is>
          <t>Blocked</t>
        </is>
      </c>
      <c r="F28" s="5" t="inlineStr">
        <is>
          <t>미수행</t>
        </is>
      </c>
    </row>
    <row r="29">
      <c r="A29" s="6" t="inlineStr">
        <is>
          <t>비결제</t>
        </is>
      </c>
      <c r="B29" s="6">
        <f>COUNTIF('테스트케이스'!$F$2:$F$91,A29)</f>
        <v/>
      </c>
      <c r="C29" s="6">
        <f>COUNTIFS('테스트케이스'!$F$2:$F$91,$A29,'테스트케이스'!$N$2:$N$91,"Pass")</f>
        <v/>
      </c>
      <c r="D29" s="6">
        <f>COUNTIFS('테스트케이스'!$F$2:$F$91,$A29,'테스트케이스'!$N$2:$N$91,"Fail")</f>
        <v/>
      </c>
      <c r="E29" s="6">
        <f>COUNTIFS('테스트케이스'!$F$2:$F$91,$A29,'테스트케이스'!$N$2:$N$91,"Blocked")</f>
        <v/>
      </c>
      <c r="F29" s="6">
        <f>B29-C29-D29-E29-COUNTIFS('테스트케이스'!$F$2:$F$91,$A29,'테스트케이스'!$N$2:$N$91,"N/A")</f>
        <v/>
      </c>
    </row>
    <row r="30">
      <c r="A30" s="6" t="inlineStr">
        <is>
          <t>실결제</t>
        </is>
      </c>
      <c r="B30" s="6">
        <f>COUNTIF('테스트케이스'!$F$2:$F$91,A30)</f>
        <v/>
      </c>
      <c r="C30" s="6">
        <f>COUNTIFS('테스트케이스'!$F$2:$F$91,$A30,'테스트케이스'!$N$2:$N$91,"Pass")</f>
        <v/>
      </c>
      <c r="D30" s="6">
        <f>COUNTIFS('테스트케이스'!$F$2:$F$91,$A30,'테스트케이스'!$N$2:$N$91,"Fail")</f>
        <v/>
      </c>
      <c r="E30" s="6">
        <f>COUNTIFS('테스트케이스'!$F$2:$F$91,$A30,'테스트케이스'!$N$2:$N$91,"Blocked")</f>
        <v/>
      </c>
      <c r="F30" s="6">
        <f>B30-C30-D30-E30-COUNTIFS('테스트케이스'!$F$2:$F$91,$A30,'테스트케이스'!$N$2:$N$91,"N/A")</f>
        <v/>
      </c>
    </row>
    <row r="31">
      <c r="A31" s="6" t="inlineStr">
        <is>
          <t>장기</t>
        </is>
      </c>
      <c r="B31" s="6">
        <f>COUNTIF('테스트케이스'!$F$2:$F$91,A31)</f>
        <v/>
      </c>
      <c r="C31" s="6">
        <f>COUNTIFS('테스트케이스'!$F$2:$F$91,$A31,'테스트케이스'!$N$2:$N$91,"Pass")</f>
        <v/>
      </c>
      <c r="D31" s="6">
        <f>COUNTIFS('테스트케이스'!$F$2:$F$91,$A31,'테스트케이스'!$N$2:$N$91,"Fail")</f>
        <v/>
      </c>
      <c r="E31" s="6">
        <f>COUNTIFS('테스트케이스'!$F$2:$F$91,$A31,'테스트케이스'!$N$2:$N$91,"Blocked")</f>
        <v/>
      </c>
      <c r="F31" s="6">
        <f>B31-C31-D31-E31-COUNTIFS('테스트케이스'!$F$2:$F$91,$A31,'테스트케이스'!$N$2:$N$91,"N/A")</f>
        <v/>
      </c>
    </row>
    <row r="33">
      <c r="A33" s="11" t="inlineStr">
        <is>
          <t>자동화 구분별 분포(테스트 피라미드)</t>
        </is>
      </c>
    </row>
    <row r="34">
      <c r="A34" s="5" t="inlineStr">
        <is>
          <t>자동화 구분</t>
        </is>
      </c>
      <c r="B34" s="5" t="inlineStr">
        <is>
          <t>TC 수</t>
        </is>
      </c>
      <c r="C34" s="5" t="inlineStr">
        <is>
          <t>P1</t>
        </is>
      </c>
      <c r="D34" s="5" t="inlineStr">
        <is>
          <t>P2</t>
        </is>
      </c>
      <c r="E34" s="5" t="inlineStr">
        <is>
          <t>P3</t>
        </is>
      </c>
      <c r="F34" s="5" t="inlineStr">
        <is>
          <t>비율</t>
        </is>
      </c>
    </row>
    <row r="35">
      <c r="A35" s="6" t="inlineStr">
        <is>
          <t>API</t>
        </is>
      </c>
      <c r="B35" s="6">
        <f>COUNTIF('테스트케이스'!$G$2:$G$91,A35)</f>
        <v/>
      </c>
      <c r="C35" s="6">
        <f>COUNTIFS('테스트케이스'!$G$2:$G$91,$A35,'테스트케이스'!$H$2:$H$91,"P1")</f>
        <v/>
      </c>
      <c r="D35" s="6">
        <f>COUNTIFS('테스트케이스'!$G$2:$G$91,$A35,'테스트케이스'!$H$2:$H$91,"P2")</f>
        <v/>
      </c>
      <c r="E35" s="6">
        <f>COUNTIFS('테스트케이스'!$G$2:$G$91,$A35,'테스트케이스'!$H$2:$H$91,"P3")</f>
        <v/>
      </c>
      <c r="F35" s="9">
        <f>IF($B$18=0,0,B35/$B$18)</f>
        <v/>
      </c>
    </row>
    <row r="36">
      <c r="A36" s="6" t="inlineStr">
        <is>
          <t>UI</t>
        </is>
      </c>
      <c r="B36" s="6">
        <f>COUNTIF('테스트케이스'!$G$2:$G$91,A36)</f>
        <v/>
      </c>
      <c r="C36" s="6">
        <f>COUNTIFS('테스트케이스'!$G$2:$G$91,$A36,'테스트케이스'!$H$2:$H$91,"P1")</f>
        <v/>
      </c>
      <c r="D36" s="6">
        <f>COUNTIFS('테스트케이스'!$G$2:$G$91,$A36,'테스트케이스'!$H$2:$H$91,"P2")</f>
        <v/>
      </c>
      <c r="E36" s="6">
        <f>COUNTIFS('테스트케이스'!$G$2:$G$91,$A36,'테스트케이스'!$H$2:$H$91,"P3")</f>
        <v/>
      </c>
      <c r="F36" s="9">
        <f>IF($B$18=0,0,B36/$B$18)</f>
        <v/>
      </c>
    </row>
    <row r="37">
      <c r="A37" s="6" t="inlineStr">
        <is>
          <t>수동</t>
        </is>
      </c>
      <c r="B37" s="6">
        <f>COUNTIF('테스트케이스'!$G$2:$G$91,A37)</f>
        <v/>
      </c>
      <c r="C37" s="6">
        <f>COUNTIFS('테스트케이스'!$G$2:$G$91,$A37,'테스트케이스'!$H$2:$H$91,"P1")</f>
        <v/>
      </c>
      <c r="D37" s="6">
        <f>COUNTIFS('테스트케이스'!$G$2:$G$91,$A37,'테스트케이스'!$H$2:$H$91,"P2")</f>
        <v/>
      </c>
      <c r="E37" s="6">
        <f>COUNTIFS('테스트케이스'!$G$2:$G$91,$A37,'테스트케이스'!$H$2:$H$91,"P3")</f>
        <v/>
      </c>
      <c r="F37" s="9">
        <f>IF($B$18=0,0,B37/$B$18)</f>
        <v/>
      </c>
    </row>
    <row r="38">
      <c r="A38" s="10" t="inlineStr">
        <is>
          <t>※ API: 주문서 계산·주문·취소 API 레벨(사내 테스트 환경 전제) / UI: Appium(XCUITest) E2E / 수동: 환경·OS 통합·육안 판단. 상세는 계획서 8장</t>
        </is>
      </c>
    </row>
    <row r="40">
      <c r="A40" s="11" t="inlineStr">
        <is>
          <t>요구사항 커버리지</t>
        </is>
      </c>
    </row>
    <row r="41">
      <c r="A41" s="5" t="inlineStr">
        <is>
          <t>요구사항 ID</t>
        </is>
      </c>
      <c r="B41" s="5" t="inlineStr">
        <is>
          <t>연결 TC 수</t>
        </is>
      </c>
      <c r="C41" s="5" t="inlineStr">
        <is>
          <t>요구사항 기반</t>
        </is>
      </c>
      <c r="D41" s="5" t="inlineStr">
        <is>
          <t>Pass</t>
        </is>
      </c>
      <c r="E41" s="5" t="inlineStr">
        <is>
          <t>Fail</t>
        </is>
      </c>
      <c r="F41" s="5" t="inlineStr"/>
      <c r="G41" s="2" t="n"/>
      <c r="H41" s="2" t="n"/>
      <c r="I41" s="3" t="n"/>
      <c r="J41" s="5" t="inlineStr">
        <is>
          <t>요구사항</t>
        </is>
      </c>
    </row>
    <row r="42" ht="62" customHeight="1">
      <c r="A42" s="6" t="inlineStr">
        <is>
          <t>REQ-01</t>
        </is>
      </c>
      <c r="B42" s="6">
        <f>COUNTIF('테스트케이스'!$D$2:$D$91,"*"&amp;A42&amp;"*")</f>
        <v/>
      </c>
      <c r="C42" s="6">
        <f>COUNTIFS('테스트케이스'!$D$2:$D$91,"*"&amp;A42&amp;"*",'테스트케이스'!$E$2:$E$91,"요구사항")</f>
        <v/>
      </c>
      <c r="D42" s="6">
        <f>COUNTIFS('테스트케이스'!$D$2:$D$91,"*"&amp;A42&amp;"*",'테스트케이스'!$N$2:$N$91,"Pass")</f>
        <v/>
      </c>
      <c r="E42" s="6">
        <f>COUNTIFS('테스트케이스'!$D$2:$D$91,"*"&amp;A42&amp;"*",'테스트케이스'!$N$2:$N$91,"Fail")</f>
        <v/>
      </c>
      <c r="F42" s="12" t="n"/>
      <c r="G42" s="2" t="n"/>
      <c r="H42" s="2" t="n"/>
      <c r="I42" s="3" t="n"/>
      <c r="J42" s="12" t="inlineStr">
        <is>
          <t>결제 수단은 무신사머니 / 무신사페이 / 일반 결제(신용카드, 가상계좌, Apple Pay, 휴대폰, 토스페이, 카카오페이, 삼성페이, KBPay, 페이코) 중 하나만 선택할 수 있으며 복합 결제는 불가하다.</t>
        </is>
      </c>
    </row>
    <row r="43" ht="47" customHeight="1">
      <c r="A43" s="6" t="inlineStr">
        <is>
          <t>REQ-02</t>
        </is>
      </c>
      <c r="B43" s="6">
        <f>COUNTIF('테스트케이스'!$D$2:$D$91,"*"&amp;A43&amp;"*")</f>
        <v/>
      </c>
      <c r="C43" s="6">
        <f>COUNTIFS('테스트케이스'!$D$2:$D$91,"*"&amp;A43&amp;"*",'테스트케이스'!$E$2:$E$91,"요구사항")</f>
        <v/>
      </c>
      <c r="D43" s="6">
        <f>COUNTIFS('테스트케이스'!$D$2:$D$91,"*"&amp;A43&amp;"*",'테스트케이스'!$N$2:$N$91,"Pass")</f>
        <v/>
      </c>
      <c r="E43" s="6">
        <f>COUNTIFS('테스트케이스'!$D$2:$D$91,"*"&amp;A43&amp;"*",'테스트케이스'!$N$2:$N$91,"Fail")</f>
        <v/>
      </c>
      <c r="F43" s="12" t="n"/>
      <c r="G43" s="2" t="n"/>
      <c r="H43" s="2" t="n"/>
      <c r="I43" s="3" t="n"/>
      <c r="J43" s="12" t="inlineStr">
        <is>
          <t>주문 시점에 진행 중인 결제수단 즉시 할인 혜택이 있으면 해당 결제수단이 자동 선택되어 노출되고, 다른 결제수단으로 바꾸려면 즉시 할인을 먼저 해제해야 한다.</t>
        </is>
      </c>
    </row>
    <row r="44" ht="32" customHeight="1">
      <c r="A44" s="6" t="inlineStr">
        <is>
          <t>REQ-03</t>
        </is>
      </c>
      <c r="B44" s="6">
        <f>COUNTIF('테스트케이스'!$D$2:$D$91,"*"&amp;A44&amp;"*")</f>
        <v/>
      </c>
      <c r="C44" s="6">
        <f>COUNTIFS('테스트케이스'!$D$2:$D$91,"*"&amp;A44&amp;"*",'테스트케이스'!$E$2:$E$91,"요구사항")</f>
        <v/>
      </c>
      <c r="D44" s="6">
        <f>COUNTIFS('테스트케이스'!$D$2:$D$91,"*"&amp;A44&amp;"*",'테스트케이스'!$N$2:$N$91,"Pass")</f>
        <v/>
      </c>
      <c r="E44" s="6">
        <f>COUNTIFS('테스트케이스'!$D$2:$D$91,"*"&amp;A44&amp;"*",'테스트케이스'!$N$2:$N$91,"Fail")</f>
        <v/>
      </c>
      <c r="F44" s="12" t="n"/>
      <c r="G44" s="2" t="n"/>
      <c r="H44" s="2" t="n"/>
      <c r="I44" s="3" t="n"/>
      <c r="J44" s="12" t="inlineStr">
        <is>
          <t>적립금은 5,000원 이상 보유한 경우에만 사용할 수 있다.</t>
        </is>
      </c>
    </row>
    <row r="45" ht="32" customHeight="1">
      <c r="A45" s="6" t="inlineStr">
        <is>
          <t>REQ-04</t>
        </is>
      </c>
      <c r="B45" s="6">
        <f>COUNTIF('테스트케이스'!$D$2:$D$91,"*"&amp;A45&amp;"*")</f>
        <v/>
      </c>
      <c r="C45" s="6">
        <f>COUNTIFS('테스트케이스'!$D$2:$D$91,"*"&amp;A45&amp;"*",'테스트케이스'!$E$2:$E$91,"요구사항")</f>
        <v/>
      </c>
      <c r="D45" s="6">
        <f>COUNTIFS('테스트케이스'!$D$2:$D$91,"*"&amp;A45&amp;"*",'테스트케이스'!$N$2:$N$91,"Pass")</f>
        <v/>
      </c>
      <c r="E45" s="6">
        <f>COUNTIFS('테스트케이스'!$D$2:$D$91,"*"&amp;A45&amp;"*",'테스트케이스'!$N$2:$N$91,"Fail")</f>
        <v/>
      </c>
      <c r="F45" s="12" t="n"/>
      <c r="G45" s="2" t="n"/>
      <c r="H45" s="2" t="n"/>
      <c r="I45" s="3" t="n"/>
      <c r="J45" s="12" t="inlineStr">
        <is>
          <t>적립금은 결제 금액의 최대 7%까지, 10원 단위로만 사용할 수 있다.</t>
        </is>
      </c>
    </row>
    <row r="46" ht="47" customHeight="1">
      <c r="A46" s="6" t="inlineStr">
        <is>
          <t>REQ-05</t>
        </is>
      </c>
      <c r="B46" s="6">
        <f>COUNTIF('테스트케이스'!$D$2:$D$91,"*"&amp;A46&amp;"*")</f>
        <v/>
      </c>
      <c r="C46" s="6">
        <f>COUNTIFS('테스트케이스'!$D$2:$D$91,"*"&amp;A46&amp;"*",'테스트케이스'!$E$2:$E$91,"요구사항")</f>
        <v/>
      </c>
      <c r="D46" s="6">
        <f>COUNTIFS('테스트케이스'!$D$2:$D$91,"*"&amp;A46&amp;"*",'테스트케이스'!$N$2:$N$91,"Pass")</f>
        <v/>
      </c>
      <c r="E46" s="6">
        <f>COUNTIFS('테스트케이스'!$D$2:$D$91,"*"&amp;A46&amp;"*",'테스트케이스'!$N$2:$N$91,"Fail")</f>
        <v/>
      </c>
      <c r="F46" s="12" t="n"/>
      <c r="G46" s="2" t="n"/>
      <c r="H46" s="2" t="n"/>
      <c r="I46" s="3" t="n"/>
      <c r="J46" s="12" t="inlineStr">
        <is>
          <t>브랜드·본사 정책상 적립금 사용이 제한되는 상품이 있으며 주문서에서 확인할 수 있다. 제휴(광고) 경유 접속(바로 접속 OFF) 시 적립금 사용과 선할인이 제한된다.</t>
        </is>
      </c>
    </row>
    <row r="47" ht="62" customHeight="1">
      <c r="A47" s="6" t="inlineStr">
        <is>
          <t>REQ-06</t>
        </is>
      </c>
      <c r="B47" s="6">
        <f>COUNTIF('테스트케이스'!$D$2:$D$91,"*"&amp;A47&amp;"*")</f>
        <v/>
      </c>
      <c r="C47" s="6">
        <f>COUNTIFS('테스트케이스'!$D$2:$D$91,"*"&amp;A47&amp;"*",'테스트케이스'!$E$2:$E$91,"요구사항")</f>
        <v/>
      </c>
      <c r="D47" s="6">
        <f>COUNTIFS('테스트케이스'!$D$2:$D$91,"*"&amp;A47&amp;"*",'테스트케이스'!$N$2:$N$91,"Pass")</f>
        <v/>
      </c>
      <c r="E47" s="6">
        <f>COUNTIFS('테스트케이스'!$D$2:$D$91,"*"&amp;A47&amp;"*",'테스트케이스'!$N$2:$N$91,"Fail")</f>
        <v/>
      </c>
      <c r="F47" s="12" t="n"/>
      <c r="G47" s="2" t="n"/>
      <c r="H47" s="2" t="n"/>
      <c r="I47" s="3" t="n"/>
      <c r="J47" s="12" t="inlineStr">
        <is>
          <t>적립금 선할인은 구매 시 지급될 적립금을 주문 시 즉시 할인으로 사용하는 방식이다. 선할인 사용 시 구매 확정 후 적립금이 지급되지 않으며, 환불 시 선할인분은 반환되지 않는다.</t>
        </is>
      </c>
    </row>
    <row r="48" ht="62" customHeight="1">
      <c r="A48" s="6" t="inlineStr">
        <is>
          <t>REQ-07</t>
        </is>
      </c>
      <c r="B48" s="6">
        <f>COUNTIF('테스트케이스'!$D$2:$D$91,"*"&amp;A48&amp;"*")</f>
        <v/>
      </c>
      <c r="C48" s="6">
        <f>COUNTIFS('테스트케이스'!$D$2:$D$91,"*"&amp;A48&amp;"*",'테스트케이스'!$E$2:$E$91,"요구사항")</f>
        <v/>
      </c>
      <c r="D48" s="6">
        <f>COUNTIFS('테스트케이스'!$D$2:$D$91,"*"&amp;A48&amp;"*",'테스트케이스'!$N$2:$N$91,"Pass")</f>
        <v/>
      </c>
      <c r="E48" s="6">
        <f>COUNTIFS('테스트케이스'!$D$2:$D$91,"*"&amp;A48&amp;"*",'테스트케이스'!$N$2:$N$91,"Fail")</f>
        <v/>
      </c>
      <c r="F48" s="12" t="n"/>
      <c r="G48" s="2" t="n"/>
      <c r="H48" s="2" t="n"/>
      <c r="I48" s="3" t="n"/>
      <c r="J48" s="12" t="inlineStr">
        <is>
          <t>쿠폰은 상품 단위로 적용되고 주문서 작성 단계에서 적용·변경할 수 있다. 상품 상세·장바구니에서 미리 적용해 할인가를 확인할 수 있고, 주문 완료 후에는 적용할 수 없다. 브랜드·상품에 따라 사용이 제한될 수 있다.</t>
        </is>
      </c>
    </row>
    <row r="49" ht="47" customHeight="1">
      <c r="A49" s="6" t="inlineStr">
        <is>
          <t>REQ-08</t>
        </is>
      </c>
      <c r="B49" s="6">
        <f>COUNTIF('테스트케이스'!$D$2:$D$91,"*"&amp;A49&amp;"*")</f>
        <v/>
      </c>
      <c r="C49" s="6">
        <f>COUNTIFS('테스트케이스'!$D$2:$D$91,"*"&amp;A49&amp;"*",'테스트케이스'!$E$2:$E$91,"요구사항")</f>
        <v/>
      </c>
      <c r="D49" s="6">
        <f>COUNTIFS('테스트케이스'!$D$2:$D$91,"*"&amp;A49&amp;"*",'테스트케이스'!$N$2:$N$91,"Pass")</f>
        <v/>
      </c>
      <c r="E49" s="6">
        <f>COUNTIFS('테스트케이스'!$D$2:$D$91,"*"&amp;A49&amp;"*",'테스트케이스'!$N$2:$N$91,"Fail")</f>
        <v/>
      </c>
      <c r="F49" s="12" t="n"/>
      <c r="G49" s="2" t="n"/>
      <c r="H49" s="2" t="n"/>
      <c r="I49" s="3" t="n"/>
      <c r="J49" s="12" t="inlineStr">
        <is>
          <t>회원 등급별 등급 할인율이 결제 시 적용되며 '등급 혜택 안내'에서 확인할 수 있다. 월 등급 쿠폰팩은 매월 1일 지급된다.</t>
        </is>
      </c>
    </row>
    <row r="50" ht="77" customHeight="1">
      <c r="A50" s="6" t="inlineStr">
        <is>
          <t>REQ-09</t>
        </is>
      </c>
      <c r="B50" s="6">
        <f>COUNTIF('테스트케이스'!$D$2:$D$91,"*"&amp;A50&amp;"*")</f>
        <v/>
      </c>
      <c r="C50" s="6">
        <f>COUNTIFS('테스트케이스'!$D$2:$D$91,"*"&amp;A50&amp;"*",'테스트케이스'!$E$2:$E$91,"요구사항")</f>
        <v/>
      </c>
      <c r="D50" s="6">
        <f>COUNTIFS('테스트케이스'!$D$2:$D$91,"*"&amp;A50&amp;"*",'테스트케이스'!$N$2:$N$91,"Pass")</f>
        <v/>
      </c>
      <c r="E50" s="6">
        <f>COUNTIFS('테스트케이스'!$D$2:$D$91,"*"&amp;A50&amp;"*",'테스트케이스'!$N$2:$N$91,"Fail")</f>
        <v/>
      </c>
      <c r="F50" s="12" t="n"/>
      <c r="G50" s="2" t="n"/>
      <c r="H50" s="2" t="n"/>
      <c r="I50" s="3" t="n"/>
      <c r="J50" s="12" t="inlineStr">
        <is>
          <t>결제완료 상태 주문은 즉시 취소되고 사용한 적립금·쿠폰은 반환되어 재사용할 수 있다(쿠폰은 유효기간 내). 상품준비중 주문은 취소 요청 후 승인 시 취소되며 거절될 수 있다. 출고 전 일부 수량 취소·옵션 변경은 불가하고, 옵션 변경은 입금 확인 상태에서만 가능하다.</t>
        </is>
      </c>
    </row>
    <row r="51" ht="62" customHeight="1">
      <c r="A51" s="6" t="inlineStr">
        <is>
          <t>REQ-10</t>
        </is>
      </c>
      <c r="B51" s="6">
        <f>COUNTIF('테스트케이스'!$D$2:$D$91,"*"&amp;A51&amp;"*")</f>
        <v/>
      </c>
      <c r="C51" s="6">
        <f>COUNTIFS('테스트케이스'!$D$2:$D$91,"*"&amp;A51&amp;"*",'테스트케이스'!$E$2:$E$91,"요구사항")</f>
        <v/>
      </c>
      <c r="D51" s="6">
        <f>COUNTIFS('테스트케이스'!$D$2:$D$91,"*"&amp;A51&amp;"*",'테스트케이스'!$N$2:$N$91,"Pass")</f>
        <v/>
      </c>
      <c r="E51" s="6">
        <f>COUNTIFS('테스트케이스'!$D$2:$D$91,"*"&amp;A51&amp;"*",'테스트케이스'!$N$2:$N$91,"Fail")</f>
        <v/>
      </c>
      <c r="F51" s="12" t="n"/>
      <c r="G51" s="2" t="n"/>
      <c r="H51" s="2" t="n"/>
      <c r="I51" s="3" t="n"/>
      <c r="J51" s="12" t="inlineStr">
        <is>
          <t>가상계좌 결제는 주문 후 48시간 내 미입금 시 자동 취소된다. 결제 금액은 1원 단위까지 일치해야 입금되고 주문번호마다 계좌가 다르다. 입금 완료 시 재고가 차감되며, 품절 상태에서 입금하면 취소 처리된다.</t>
        </is>
      </c>
    </row>
    <row r="52" ht="47" customHeight="1">
      <c r="A52" s="6" t="inlineStr">
        <is>
          <t>REQ-11</t>
        </is>
      </c>
      <c r="B52" s="6">
        <f>COUNTIF('테스트케이스'!$D$2:$D$91,"*"&amp;A52&amp;"*")</f>
        <v/>
      </c>
      <c r="C52" s="6">
        <f>COUNTIFS('테스트케이스'!$D$2:$D$91,"*"&amp;A52&amp;"*",'테스트케이스'!$E$2:$E$91,"요구사항")</f>
        <v/>
      </c>
      <c r="D52" s="6">
        <f>COUNTIFS('테스트케이스'!$D$2:$D$91,"*"&amp;A52&amp;"*",'테스트케이스'!$N$2:$N$91,"Pass")</f>
        <v/>
      </c>
      <c r="E52" s="6">
        <f>COUNTIFS('테스트케이스'!$D$2:$D$91,"*"&amp;A52&amp;"*",'테스트케이스'!$N$2:$N$91,"Fail")</f>
        <v/>
      </c>
      <c r="F52" s="12" t="n"/>
      <c r="G52" s="2" t="n"/>
      <c r="H52" s="2" t="n"/>
      <c r="I52" s="3" t="n"/>
      <c r="J52" s="12" t="inlineStr">
        <is>
          <t>결제 한도: 무신사머니는 200만 원 이하 상품 구매에만 사용 가능, 휴대폰 결제는 50만 원 이상 차단, 무신사머니 잔액 부족 시 2만 원 단위로 자동 충전된다.</t>
        </is>
      </c>
    </row>
    <row r="53" ht="62" customHeight="1">
      <c r="A53" s="6" t="inlineStr">
        <is>
          <t>REQ-12</t>
        </is>
      </c>
      <c r="B53" s="6">
        <f>COUNTIF('테스트케이스'!$D$2:$D$91,"*"&amp;A53&amp;"*")</f>
        <v/>
      </c>
      <c r="C53" s="6">
        <f>COUNTIFS('테스트케이스'!$D$2:$D$91,"*"&amp;A53&amp;"*",'테스트케이스'!$E$2:$E$91,"요구사항")</f>
        <v/>
      </c>
      <c r="D53" s="6">
        <f>COUNTIFS('테스트케이스'!$D$2:$D$91,"*"&amp;A53&amp;"*",'테스트케이스'!$N$2:$N$91,"Pass")</f>
        <v/>
      </c>
      <c r="E53" s="6">
        <f>COUNTIFS('테스트케이스'!$D$2:$D$91,"*"&amp;A53&amp;"*",'테스트케이스'!$N$2:$N$91,"Fail")</f>
        <v/>
      </c>
      <c r="F53" s="12" t="n"/>
      <c r="G53" s="2" t="n"/>
      <c r="H53" s="2" t="n"/>
      <c r="I53" s="3" t="n"/>
      <c r="J53" s="12" t="inlineStr">
        <is>
          <t>브랜드·상품별 출고지가 달라 여러 브랜드 상품을 한 번에 결제할 수 있으나 각각 배송된다. 동일 상품에 일반 배송과 무배당발 옵션이 공존할 수 있고 옵션별 배송·교환/반품 정책이 다르다.</t>
        </is>
      </c>
    </row>
    <row r="54" ht="47" customHeight="1">
      <c r="A54" s="6" t="inlineStr">
        <is>
          <t>REQ-13</t>
        </is>
      </c>
      <c r="B54" s="6">
        <f>COUNTIF('테스트케이스'!$D$2:$D$91,"*"&amp;A54&amp;"*")</f>
        <v/>
      </c>
      <c r="C54" s="6">
        <f>COUNTIFS('테스트케이스'!$D$2:$D$91,"*"&amp;A54&amp;"*",'테스트케이스'!$E$2:$E$91,"요구사항")</f>
        <v/>
      </c>
      <c r="D54" s="6">
        <f>COUNTIFS('테스트케이스'!$D$2:$D$91,"*"&amp;A54&amp;"*",'테스트케이스'!$N$2:$N$91,"Pass")</f>
        <v/>
      </c>
      <c r="E54" s="6">
        <f>COUNTIFS('테스트케이스'!$D$2:$D$91,"*"&amp;A54&amp;"*",'테스트케이스'!$N$2:$N$91,"Fail")</f>
        <v/>
      </c>
      <c r="F54" s="12" t="n"/>
      <c r="G54" s="2" t="n"/>
      <c r="H54" s="2" t="n"/>
      <c r="I54" s="3" t="n"/>
      <c r="J54" s="12" t="inlineStr">
        <is>
          <t>환불 시 사용한 적립금은 반환되며, 부분 환불 시 사용 비율만큼 반환된다(예: 7% 사용 → 각 상품 금액의 7%).</t>
        </is>
      </c>
    </row>
    <row r="55" ht="32" customHeight="1">
      <c r="A55" s="6" t="inlineStr">
        <is>
          <t>REQ-14</t>
        </is>
      </c>
      <c r="B55" s="6">
        <f>COUNTIF('테스트케이스'!$D$2:$D$91,"*"&amp;A55&amp;"*")</f>
        <v/>
      </c>
      <c r="C55" s="6">
        <f>COUNTIFS('테스트케이스'!$D$2:$D$91,"*"&amp;A55&amp;"*",'테스트케이스'!$E$2:$E$91,"요구사항")</f>
        <v/>
      </c>
      <c r="D55" s="6">
        <f>COUNTIFS('테스트케이스'!$D$2:$D$91,"*"&amp;A55&amp;"*",'테스트케이스'!$N$2:$N$91,"Pass")</f>
        <v/>
      </c>
      <c r="E55" s="6">
        <f>COUNTIFS('테스트케이스'!$D$2:$D$91,"*"&amp;A55&amp;"*",'테스트케이스'!$N$2:$N$91,"Fail")</f>
        <v/>
      </c>
      <c r="F55" s="12" t="n"/>
      <c r="G55" s="2" t="n"/>
      <c r="H55" s="2" t="n"/>
      <c r="I55" s="3" t="n"/>
      <c r="J55" s="12" t="inlineStr">
        <is>
          <t>주문 완료 후 결제 수단은 변경할 수 없다(결제완료 상태에서 취소 후 재주문).</t>
        </is>
      </c>
    </row>
    <row r="56" ht="77" customHeight="1">
      <c r="A56" s="6" t="inlineStr">
        <is>
          <t>REQ-15</t>
        </is>
      </c>
      <c r="B56" s="6">
        <f>COUNTIF('테스트케이스'!$D$2:$D$91,"*"&amp;A56&amp;"*")</f>
        <v/>
      </c>
      <c r="C56" s="6">
        <f>COUNTIFS('테스트케이스'!$D$2:$D$91,"*"&amp;A56&amp;"*",'테스트케이스'!$E$2:$E$91,"요구사항")</f>
        <v/>
      </c>
      <c r="D56" s="6">
        <f>COUNTIFS('테스트케이스'!$D$2:$D$91,"*"&amp;A56&amp;"*",'테스트케이스'!$N$2:$N$91,"Pass")</f>
        <v/>
      </c>
      <c r="E56" s="6">
        <f>COUNTIFS('테스트케이스'!$D$2:$D$91,"*"&amp;A56&amp;"*",'테스트케이스'!$N$2:$N$91,"Fail")</f>
        <v/>
      </c>
      <c r="F56" s="12" t="n"/>
      <c r="G56" s="2" t="n"/>
      <c r="H56" s="2" t="n"/>
      <c r="I56" s="3" t="n"/>
      <c r="J56" s="12" t="inlineStr">
        <is>
          <t>신규 회원에게 가입 쿠폰 20%(발급 후 30일), 가입 적립금 5,000원(가입 후 24시간 내 사용), 365일 무료배송이 제공된다. 쿠폰은 상품 단위 적용이며 일부 상품은 제한되고, 1만 원 이상 상품 구매 시 혜택가가 적용된다.</t>
        </is>
      </c>
    </row>
    <row r="58">
      <c r="A58" s="11" t="inlineStr">
        <is>
          <t>질의사항 영향</t>
        </is>
      </c>
    </row>
    <row r="59">
      <c r="A59" s="5" t="inlineStr">
        <is>
          <t>질의 ID</t>
        </is>
      </c>
      <c r="B59" s="5" t="inlineStr">
        <is>
          <t>영향 TC 수</t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>
        <is>
          <t>질의</t>
        </is>
      </c>
    </row>
    <row r="60" ht="47" customHeight="1">
      <c r="A60" s="6" t="inlineStr">
        <is>
          <t>Q01</t>
        </is>
      </c>
      <c r="B60" s="6">
        <f>COUNTIF('테스트케이스'!$M$2:$M$91,"*"&amp;A60&amp;"*")</f>
        <v/>
      </c>
      <c r="C60" s="12" t="n"/>
      <c r="D60" s="2" t="n"/>
      <c r="E60" s="2" t="n"/>
      <c r="F60" s="2" t="n"/>
      <c r="G60" s="2" t="n"/>
      <c r="H60" s="2" t="n"/>
      <c r="I60" s="3" t="n"/>
      <c r="J60" s="12" t="inlineStr">
        <is>
          <t>배송비 산정 규칙: 브랜드별 부과인지, 장바구니 합계 기준 무료배송 조건과 금액, 도서산간 추가 배송비가 반영되는 시점(주문서 진입 시 / 배송지 선택 후)</t>
        </is>
      </c>
    </row>
    <row r="61" ht="32" customHeight="1">
      <c r="A61" s="6" t="inlineStr">
        <is>
          <t>Q02</t>
        </is>
      </c>
      <c r="B61" s="6">
        <f>COUNTIF('테스트케이스'!$M$2:$M$91,"*"&amp;A61&amp;"*")</f>
        <v/>
      </c>
      <c r="C61" s="12" t="n"/>
      <c r="D61" s="2" t="n"/>
      <c r="E61" s="2" t="n"/>
      <c r="F61" s="2" t="n"/>
      <c r="G61" s="2" t="n"/>
      <c r="H61" s="2" t="n"/>
      <c r="I61" s="3" t="n"/>
      <c r="J61" s="12" t="inlineStr">
        <is>
          <t>장바구니 제한: 담을 수 있는 최대 상품 수, 옵션당 최대 수량, 초과 시 안내 문구</t>
        </is>
      </c>
    </row>
    <row r="62" ht="47" customHeight="1">
      <c r="A62" s="6" t="inlineStr">
        <is>
          <t>Q03</t>
        </is>
      </c>
      <c r="B62" s="6">
        <f>COUNTIF('테스트케이스'!$M$2:$M$91,"*"&amp;A62&amp;"*")</f>
        <v/>
      </c>
      <c r="C62" s="12" t="n"/>
      <c r="D62" s="2" t="n"/>
      <c r="E62" s="2" t="n"/>
      <c r="F62" s="2" t="n"/>
      <c r="G62" s="2" t="n"/>
      <c r="H62" s="2" t="n"/>
      <c r="I62" s="3" t="n"/>
      <c r="J62" s="12" t="inlineStr">
        <is>
          <t>할인 적용 순서(등급 할인 → 쿠폰 → 적립금?)와 적립금 7% 한도의 기준 금액(상품 금액 / 쿠폰 적용 후 / 배송비 포함 여부), 10원 미만 절사·반올림 규칙</t>
        </is>
      </c>
    </row>
    <row r="63" ht="47" customHeight="1">
      <c r="A63" s="6" t="inlineStr">
        <is>
          <t>Q04</t>
        </is>
      </c>
      <c r="B63" s="6">
        <f>COUNTIF('테스트케이스'!$M$2:$M$91,"*"&amp;A63&amp;"*")</f>
        <v/>
      </c>
      <c r="C63" s="12" t="n"/>
      <c r="D63" s="2" t="n"/>
      <c r="E63" s="2" t="n"/>
      <c r="F63" s="2" t="n"/>
      <c r="G63" s="2" t="n"/>
      <c r="H63" s="2" t="n"/>
      <c r="I63" s="3" t="n"/>
      <c r="J63" s="12" t="inlineStr">
        <is>
          <t>쿠폰 중복 규칙: 상품당 1장인지, 등급 쿠폰과 브랜드 쿠폰 중복 가능 여부, 쿠폰 할인과 적립금 선할인 병행 가능 여부</t>
        </is>
      </c>
    </row>
    <row r="64" ht="47" customHeight="1">
      <c r="A64" s="6" t="inlineStr">
        <is>
          <t>Q05</t>
        </is>
      </c>
      <c r="B64" s="6">
        <f>COUNTIF('테스트케이스'!$M$2:$M$91,"*"&amp;A64&amp;"*")</f>
        <v/>
      </c>
      <c r="C64" s="12" t="n"/>
      <c r="D64" s="2" t="n"/>
      <c r="E64" s="2" t="n"/>
      <c r="F64" s="2" t="n"/>
      <c r="G64" s="2" t="n"/>
      <c r="H64" s="2" t="n"/>
      <c r="I64" s="3" t="n"/>
      <c r="J64" s="12" t="inlineStr">
        <is>
          <t>품절·가격 변동 처리: 장바구니에 담은 뒤 품절·가격 인상된 상품의 표시와 주문 가능 여부, 주문서 진입 후 품절 시 결제가 차단되는 시점</t>
        </is>
      </c>
    </row>
    <row r="65" ht="47" customHeight="1">
      <c r="A65" s="6" t="inlineStr">
        <is>
          <t>Q06</t>
        </is>
      </c>
      <c r="B65" s="6">
        <f>COUNTIF('테스트케이스'!$M$2:$M$91,"*"&amp;A65&amp;"*")</f>
        <v/>
      </c>
      <c r="C65" s="12" t="n"/>
      <c r="D65" s="2" t="n"/>
      <c r="E65" s="2" t="n"/>
      <c r="F65" s="2" t="n"/>
      <c r="G65" s="2" t="n"/>
      <c r="H65" s="2" t="n"/>
      <c r="I65" s="3" t="n"/>
      <c r="J65" s="12" t="inlineStr">
        <is>
          <t>결제 중단 처리: PG·Apple Pay 화면에서 뒤로가기/앱 종료 시 '결제대기' 주문 생성 여부, 사용한 쿠폰·적립금의 즉시 반환 여부, 재시도 경로</t>
        </is>
      </c>
    </row>
    <row r="66" ht="47" customHeight="1">
      <c r="A66" s="6" t="inlineStr">
        <is>
          <t>Q07</t>
        </is>
      </c>
      <c r="B66" s="6">
        <f>COUNTIF('테스트케이스'!$M$2:$M$91,"*"&amp;A66&amp;"*")</f>
        <v/>
      </c>
      <c r="C66" s="12" t="n"/>
      <c r="D66" s="2" t="n"/>
      <c r="E66" s="2" t="n"/>
      <c r="F66" s="2" t="n"/>
      <c r="G66" s="2" t="n"/>
      <c r="H66" s="2" t="n"/>
      <c r="I66" s="3" t="n"/>
      <c r="J66" s="12" t="inlineStr">
        <is>
          <t>'결제 금액'의 정의: 적립금 7% 한도와 결제수단 한도(휴대폰 50만 원, 무신사머니 200만 원)의 기준이 배송비 포함 금액인지, 쿠폰 적용 후 금액인지</t>
        </is>
      </c>
    </row>
    <row r="67" ht="47" customHeight="1">
      <c r="A67" s="6" t="inlineStr">
        <is>
          <t>Q08</t>
        </is>
      </c>
      <c r="B67" s="6">
        <f>COUNTIF('테스트케이스'!$M$2:$M$91,"*"&amp;A67&amp;"*")</f>
        <v/>
      </c>
      <c r="C67" s="12" t="n"/>
      <c r="D67" s="2" t="n"/>
      <c r="E67" s="2" t="n"/>
      <c r="F67" s="2" t="n"/>
      <c r="G67" s="2" t="n"/>
      <c r="H67" s="2" t="n"/>
      <c r="I67" s="3" t="n"/>
      <c r="J67" s="12" t="inlineStr">
        <is>
          <t>장바구니 동기화·유지: 웹과 앱 장바구니 동기화 여부, 로그아웃·재로그인·앱 재설치 시 유지 여부, 비회원 장바구니의 로그인 후 병합 여부</t>
        </is>
      </c>
    </row>
    <row r="68" ht="32" customHeight="1">
      <c r="A68" s="6" t="inlineStr">
        <is>
          <t>Q09</t>
        </is>
      </c>
      <c r="B68" s="6">
        <f>COUNTIF('테스트케이스'!$M$2:$M$91,"*"&amp;A68&amp;"*")</f>
        <v/>
      </c>
      <c r="C68" s="12" t="n"/>
      <c r="D68" s="2" t="n"/>
      <c r="E68" s="2" t="n"/>
      <c r="F68" s="2" t="n"/>
      <c r="G68" s="2" t="n"/>
      <c r="H68" s="2" t="n"/>
      <c r="I68" s="3" t="n"/>
      <c r="J68" s="12" t="inlineStr">
        <is>
          <t>즉시 할인 자동 선택 시 다른 결제수단으로 바꾸는 UX(해제 안내 문구 유무)와 해제 후 금액 재계산</t>
        </is>
      </c>
    </row>
    <row r="69" ht="47" customHeight="1">
      <c r="A69" s="6" t="inlineStr">
        <is>
          <t>Q10</t>
        </is>
      </c>
      <c r="B69" s="6">
        <f>COUNTIF('테스트케이스'!$M$2:$M$91,"*"&amp;A69&amp;"*")</f>
        <v/>
      </c>
      <c r="C69" s="12" t="n"/>
      <c r="D69" s="2" t="n"/>
      <c r="E69" s="2" t="n"/>
      <c r="F69" s="2" t="n"/>
      <c r="G69" s="2" t="n"/>
      <c r="H69" s="2" t="n"/>
      <c r="I69" s="3" t="n"/>
      <c r="J69" s="12" t="inlineStr">
        <is>
          <t>가입 적립금 24시간·가입 쿠폰 30일 만료 경계: 주문서를 열어둔 채 만료 시각이 지나면 적용된 혜택이 어떻게 처리되는지</t>
        </is>
      </c>
    </row>
    <row r="70" ht="32" customHeight="1">
      <c r="A70" s="6" t="inlineStr">
        <is>
          <t>Q11</t>
        </is>
      </c>
      <c r="B70" s="6">
        <f>COUNTIF('테스트케이스'!$M$2:$M$91,"*"&amp;A70&amp;"*")</f>
        <v/>
      </c>
      <c r="C70" s="12" t="n"/>
      <c r="D70" s="2" t="n"/>
      <c r="E70" s="2" t="n"/>
      <c r="F70" s="2" t="n"/>
      <c r="G70" s="2" t="n"/>
      <c r="H70" s="2" t="n"/>
      <c r="I70" s="3" t="n"/>
      <c r="J70" s="12" t="inlineStr">
        <is>
          <t>상품준비중 취소 요청이 거절될 때의 알림(알림톡·앱 푸시)과 앱 내 상태 표시, 요청 철회 후 재요청 불가 처리</t>
        </is>
      </c>
    </row>
    <row r="71" ht="32" customHeight="1">
      <c r="A71" s="6" t="inlineStr">
        <is>
          <t>Q12</t>
        </is>
      </c>
      <c r="B71" s="6">
        <f>COUNTIF('테스트케이스'!$M$2:$M$91,"*"&amp;A71&amp;"*")</f>
        <v/>
      </c>
      <c r="C71" s="12" t="n"/>
      <c r="D71" s="2" t="n"/>
      <c r="E71" s="2" t="n"/>
      <c r="F71" s="2" t="n"/>
      <c r="G71" s="2" t="n"/>
      <c r="H71" s="2" t="n"/>
      <c r="I71" s="3" t="n"/>
      <c r="J71" s="12" t="inlineStr">
        <is>
          <t>적립금 사용 불가 상품과 가능 상품을 함께 주문할 때 7% 한도의 기준 금액(가능 상품 금액만인지)과 주문서 표시</t>
        </is>
      </c>
    </row>
    <row r="72">
      <c r="A72" s="10" t="inlineStr">
        <is>
          <t>※ 질의 TC는 '현재 동작 기록'이 수행 조건이며, 회신(확인) 결과는 '질의사항' 시트에 기록</t>
        </is>
      </c>
    </row>
  </sheetData>
  <mergeCells count="33">
    <mergeCell ref="A5:J5"/>
    <mergeCell ref="C61:I61"/>
    <mergeCell ref="F56:I56"/>
    <mergeCell ref="C70:I70"/>
    <mergeCell ref="F43:I43"/>
    <mergeCell ref="F52:I52"/>
    <mergeCell ref="F48:I48"/>
    <mergeCell ref="A4:J4"/>
    <mergeCell ref="C67:I67"/>
    <mergeCell ref="F49:I49"/>
    <mergeCell ref="C66:I66"/>
    <mergeCell ref="C69:I69"/>
    <mergeCell ref="F53:I53"/>
    <mergeCell ref="F44:I44"/>
    <mergeCell ref="F54:I54"/>
    <mergeCell ref="C62:I62"/>
    <mergeCell ref="C68:I68"/>
    <mergeCell ref="A1:J1"/>
    <mergeCell ref="C71:I71"/>
    <mergeCell ref="C60:I60"/>
    <mergeCell ref="C64:I64"/>
    <mergeCell ref="F55:I55"/>
    <mergeCell ref="F51:I51"/>
    <mergeCell ref="C63:I63"/>
    <mergeCell ref="C65:I65"/>
    <mergeCell ref="F45:I45"/>
    <mergeCell ref="F42:I42"/>
    <mergeCell ref="F50:I50"/>
    <mergeCell ref="F41:I41"/>
    <mergeCell ref="A3:J3"/>
    <mergeCell ref="F47:I47"/>
    <mergeCell ref="A2:J2"/>
    <mergeCell ref="F46:I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11" customWidth="1" min="5" max="5"/>
    <col width="10" customWidth="1" min="6" max="6"/>
    <col width="10" customWidth="1" min="7" max="7"/>
    <col width="9" customWidth="1" min="8" max="8"/>
    <col width="36" customWidth="1" min="9" max="9"/>
    <col width="44" customWidth="1" min="10" max="10"/>
    <col width="20" customWidth="1" min="11" max="11"/>
    <col width="48" customWidth="1" min="12" max="12"/>
    <col width="11" customWidth="1" min="13" max="13"/>
    <col width="10" customWidth="1" min="14" max="14"/>
    <col width="30" customWidth="1" min="15" max="15"/>
    <col width="11" customWidth="1" min="16" max="16"/>
    <col width="11" customWidth="1" min="17" max="17"/>
    <col width="9" customWidth="1" min="18" max="18"/>
    <col width="14" customWidth="1" min="19" max="19"/>
    <col width="14" customWidth="1" min="20" max="20"/>
  </cols>
  <sheetData>
    <row r="1" ht="30" customHeight="1">
      <c r="A1" s="5" t="inlineStr">
        <is>
          <t>TC ID</t>
        </is>
      </c>
      <c r="B1" s="5" t="inlineStr">
        <is>
          <t>대분류</t>
        </is>
      </c>
      <c r="C1" s="5" t="inlineStr">
        <is>
          <t>중분류</t>
        </is>
      </c>
      <c r="D1" s="5" t="inlineStr">
        <is>
          <t>요구사항 ID</t>
        </is>
      </c>
      <c r="E1" s="5" t="inlineStr">
        <is>
          <t>설계 근거</t>
        </is>
      </c>
      <c r="F1" s="5" t="inlineStr">
        <is>
          <t>실행 구분</t>
        </is>
      </c>
      <c r="G1" s="5" t="inlineStr">
        <is>
          <t>자동화 구분</t>
        </is>
      </c>
      <c r="H1" s="5" t="inlineStr">
        <is>
          <t>우선순위</t>
        </is>
      </c>
      <c r="I1" s="5" t="inlineStr">
        <is>
          <t>사전 조건</t>
        </is>
      </c>
      <c r="J1" s="5" t="inlineStr">
        <is>
          <t>테스트 절차</t>
        </is>
      </c>
      <c r="K1" s="5" t="inlineStr">
        <is>
          <t>테스트 데이터</t>
        </is>
      </c>
      <c r="L1" s="5" t="inlineStr">
        <is>
          <t>기대 결과</t>
        </is>
      </c>
      <c r="M1" s="5" t="inlineStr">
        <is>
          <t>관련 질의</t>
        </is>
      </c>
      <c r="N1" s="5" t="inlineStr">
        <is>
          <t>결과</t>
        </is>
      </c>
      <c r="O1" s="5" t="inlineStr">
        <is>
          <t>실측·메모</t>
        </is>
      </c>
      <c r="P1" s="5" t="inlineStr">
        <is>
          <t>결함 ID</t>
        </is>
      </c>
      <c r="Q1" s="5" t="inlineStr">
        <is>
          <t>수행일</t>
        </is>
      </c>
      <c r="R1" s="5" t="inlineStr">
        <is>
          <t>수행자</t>
        </is>
      </c>
      <c r="S1" s="5" t="inlineStr">
        <is>
          <t>스크린샷</t>
        </is>
      </c>
      <c r="T1" s="5" t="inlineStr">
        <is>
          <t>비고</t>
        </is>
      </c>
    </row>
    <row r="2" ht="64" customHeight="1">
      <c r="A2" s="6" t="inlineStr">
        <is>
          <t>TC-CART-001</t>
        </is>
      </c>
      <c r="B2" s="6" t="inlineStr">
        <is>
          <t>장바구니</t>
        </is>
      </c>
      <c r="C2" s="6" t="inlineStr">
        <is>
          <t>담기</t>
        </is>
      </c>
      <c r="D2" s="6" t="inlineStr"/>
      <c r="E2" s="6" t="inlineStr">
        <is>
          <t>추가 검증</t>
        </is>
      </c>
      <c r="F2" s="6" t="inlineStr">
        <is>
          <t>비결제</t>
        </is>
      </c>
      <c r="G2" s="6" t="inlineStr">
        <is>
          <t>UI</t>
        </is>
      </c>
      <c r="H2" s="6" t="inlineStr">
        <is>
          <t>P1</t>
        </is>
      </c>
      <c r="I2" s="12" t="inlineStr">
        <is>
          <t>로그인 상태, 장바구니 비어 있음</t>
        </is>
      </c>
      <c r="J2" s="12" t="inlineStr">
        <is>
          <t>1. 상품 상세에서 옵션(색상/사이즈) 선택
2. 수량 1로 [장바구니] 탭
3. 장바구니 진입</t>
        </is>
      </c>
      <c r="K2" s="12" t="inlineStr">
        <is>
          <t>상품 P1(일반 배송)</t>
        </is>
      </c>
      <c r="L2" s="12" t="inlineStr">
        <is>
          <t>1. 담기 완료 안내가 표시된다
2. 장바구니에 선택한 옵션·수량·판매가가 상세와 동일하게 표시된다
3. 탭 바의 장바구니 뱃지 수가 1 증가한다</t>
        </is>
      </c>
      <c r="M2" s="6" t="inlineStr"/>
      <c r="N2" s="13" t="n"/>
      <c r="O2" s="14" t="n"/>
      <c r="P2" s="13" t="n"/>
      <c r="Q2" s="13" t="n"/>
      <c r="R2" s="13" t="n"/>
      <c r="S2" s="13" t="n"/>
      <c r="T2" s="12" t="n"/>
    </row>
    <row r="3" ht="49" customHeight="1">
      <c r="A3" s="6" t="inlineStr">
        <is>
          <t>TC-CART-002</t>
        </is>
      </c>
      <c r="B3" s="6" t="inlineStr">
        <is>
          <t>장바구니</t>
        </is>
      </c>
      <c r="C3" s="6" t="inlineStr">
        <is>
          <t>담기</t>
        </is>
      </c>
      <c r="D3" s="6" t="inlineStr"/>
      <c r="E3" s="6" t="inlineStr">
        <is>
          <t>리스크 기반</t>
        </is>
      </c>
      <c r="F3" s="6" t="inlineStr">
        <is>
          <t>비결제</t>
        </is>
      </c>
      <c r="G3" s="6" t="inlineStr">
        <is>
          <t>UI</t>
        </is>
      </c>
      <c r="H3" s="6" t="inlineStr">
        <is>
          <t>P2</t>
        </is>
      </c>
      <c r="I3" s="12" t="inlineStr">
        <is>
          <t>P1 옵션 A가 장바구니에 수량 1로 있음</t>
        </is>
      </c>
      <c r="J3" s="12" t="inlineStr">
        <is>
          <t>1. 같은 상품의 같은 옵션 A를 수량 2로 다시 담기
2. 장바구니 확인</t>
        </is>
      </c>
      <c r="K3" s="12" t="inlineStr">
        <is>
          <t>상품 P1 옵션 A</t>
        </is>
      </c>
      <c r="L3" s="12" t="inlineStr">
        <is>
          <t>1. 별도 행이 생기지 않고 수량이 3으로 합산된다(또는 중복 안내 후 선택)
2. 합계 금액이 수량 × 단가와 일치한다</t>
        </is>
      </c>
      <c r="M3" s="6" t="inlineStr">
        <is>
          <t>Q02</t>
        </is>
      </c>
      <c r="N3" s="13" t="n"/>
      <c r="O3" s="14" t="n"/>
      <c r="P3" s="13" t="n"/>
      <c r="Q3" s="13" t="n"/>
      <c r="R3" s="13" t="n"/>
      <c r="S3" s="13" t="n"/>
      <c r="T3" s="12" t="n"/>
    </row>
    <row r="4" ht="79" customHeight="1">
      <c r="A4" s="6" t="inlineStr">
        <is>
          <t>TC-CART-003</t>
        </is>
      </c>
      <c r="B4" s="6" t="inlineStr">
        <is>
          <t>장바구니</t>
        </is>
      </c>
      <c r="C4" s="6" t="inlineStr">
        <is>
          <t>수량 경계</t>
        </is>
      </c>
      <c r="D4" s="6" t="inlineStr"/>
      <c r="E4" s="6" t="inlineStr">
        <is>
          <t>리스크 기반</t>
        </is>
      </c>
      <c r="F4" s="6" t="inlineStr">
        <is>
          <t>비결제</t>
        </is>
      </c>
      <c r="G4" s="6" t="inlineStr">
        <is>
          <t>UI</t>
        </is>
      </c>
      <c r="H4" s="6" t="inlineStr">
        <is>
          <t>P2</t>
        </is>
      </c>
      <c r="I4" s="12" t="inlineStr">
        <is>
          <t>P1이 장바구니에 있음, 옵션 재고 수량 확인(상세의 재고 표기 또는 수량 스텝퍼 상한)</t>
        </is>
      </c>
      <c r="J4" s="12" t="inlineStr">
        <is>
          <t>1. 수량을 1에서 [-]로 0 시도
2. 수량을 상한까지 올린 뒤 [+] 1회 추가
3. 수량 직접 입력 필드가 있으면 0, 음수, 상한+1 입력</t>
        </is>
      </c>
      <c r="K4" s="12" t="inlineStr">
        <is>
          <t>수량 0 / 상한 / 상한+1</t>
        </is>
      </c>
      <c r="L4" s="12" t="inlineStr">
        <is>
          <t>1. 0 이하로 내려가지 않는다(버튼 비활성 또는 안내)
2. 상한 초과 시 안내가 표시되고 수량은 상한에 고정된다
3. 합계 금액이 즉시 재계산된다</t>
        </is>
      </c>
      <c r="M4" s="6" t="inlineStr">
        <is>
          <t>Q02</t>
        </is>
      </c>
      <c r="N4" s="13" t="n"/>
      <c r="O4" s="14" t="n"/>
      <c r="P4" s="13" t="n"/>
      <c r="Q4" s="13" t="n"/>
      <c r="R4" s="13" t="n"/>
      <c r="S4" s="13" t="n"/>
      <c r="T4" s="12" t="n"/>
    </row>
    <row r="5" ht="94" customHeight="1">
      <c r="A5" s="6" t="inlineStr">
        <is>
          <t>TC-CART-004</t>
        </is>
      </c>
      <c r="B5" s="6" t="inlineStr">
        <is>
          <t>장바구니</t>
        </is>
      </c>
      <c r="C5" s="6" t="inlineStr">
        <is>
          <t>삭제</t>
        </is>
      </c>
      <c r="D5" s="6" t="inlineStr"/>
      <c r="E5" s="6" t="inlineStr">
        <is>
          <t>추가 검증</t>
        </is>
      </c>
      <c r="F5" s="6" t="inlineStr">
        <is>
          <t>비결제</t>
        </is>
      </c>
      <c r="G5" s="6" t="inlineStr">
        <is>
          <t>UI</t>
        </is>
      </c>
      <c r="H5" s="6" t="inlineStr">
        <is>
          <t>P2</t>
        </is>
      </c>
      <c r="I5" s="12" t="inlineStr">
        <is>
          <t>서로 다른 상품 3개가 장바구니에 있음</t>
        </is>
      </c>
      <c r="J5" s="12" t="inlineStr">
        <is>
          <t>1. 1개 상품 선택 삭제
2. 전체 선택 해제 후 [주문하기] 시도
3. 전체 삭제</t>
        </is>
      </c>
      <c r="K5" s="12" t="inlineStr">
        <is>
          <t>상품 P1, P2, P3</t>
        </is>
      </c>
      <c r="L5" s="12" t="inlineStr">
        <is>
          <t>1. 삭제한 상품만 사라지고 합계·배송비가 재계산된다
2. 선택 상품이 없으면 주문 버튼이 비활성 또는 안내가 표시된다
3. 빈 장바구니 화면과 추천 영역이 표시되고 뱃지가 0이 된다</t>
        </is>
      </c>
      <c r="M5" s="6" t="inlineStr"/>
      <c r="N5" s="13" t="n"/>
      <c r="O5" s="14" t="n"/>
      <c r="P5" s="13" t="n"/>
      <c r="Q5" s="13" t="n"/>
      <c r="R5" s="13" t="n"/>
      <c r="S5" s="13" t="n"/>
      <c r="T5" s="12" t="n"/>
    </row>
    <row r="6" ht="79" customHeight="1">
      <c r="A6" s="6" t="inlineStr">
        <is>
          <t>TC-CART-005</t>
        </is>
      </c>
      <c r="B6" s="6" t="inlineStr">
        <is>
          <t>장바구니</t>
        </is>
      </c>
      <c r="C6" s="6" t="inlineStr">
        <is>
          <t>품절 처리</t>
        </is>
      </c>
      <c r="D6" s="6" t="inlineStr">
        <is>
          <t>REQ-10</t>
        </is>
      </c>
      <c r="E6" s="6" t="inlineStr">
        <is>
          <t>리스크 기반</t>
        </is>
      </c>
      <c r="F6" s="6" t="inlineStr">
        <is>
          <t>비결제</t>
        </is>
      </c>
      <c r="G6" s="6" t="inlineStr">
        <is>
          <t>API</t>
        </is>
      </c>
      <c r="H6" s="6" t="inlineStr">
        <is>
          <t>P1</t>
        </is>
      </c>
      <c r="I6" s="12" t="inlineStr">
        <is>
          <t>품절 임박 옵션(재고 1~2)을 장바구니에 담은 뒤, 다른 계정(또는 웹)으로 해당 재고를 선구매해 품절 상태로 만듦</t>
        </is>
      </c>
      <c r="J6" s="12" t="inlineStr">
        <is>
          <t>1. 앱 장바구니 진입
2. 전체 선택 후 [주문하기]</t>
        </is>
      </c>
      <c r="K6" s="12" t="inlineStr">
        <is>
          <t>품절 옵션 상품</t>
        </is>
      </c>
      <c r="L6" s="12" t="inlineStr">
        <is>
          <t>1. 품절 상품에 '품절' 표시와 선택 불가 처리가 적용된다
2. 품절 상품은 주문서로 넘어가지 않거나 주문 불가 안내가 표시된다
3. 합계 금액에서 품절 상품이 제외된다</t>
        </is>
      </c>
      <c r="M6" s="6" t="inlineStr">
        <is>
          <t>Q05</t>
        </is>
      </c>
      <c r="N6" s="13" t="n"/>
      <c r="O6" s="14" t="n"/>
      <c r="P6" s="13" t="n"/>
      <c r="Q6" s="13" t="n"/>
      <c r="R6" s="13" t="n"/>
      <c r="S6" s="13" t="n"/>
      <c r="T6" s="12" t="n"/>
    </row>
    <row r="7" ht="64" customHeight="1">
      <c r="A7" s="6" t="inlineStr">
        <is>
          <t>TC-CART-006</t>
        </is>
      </c>
      <c r="B7" s="6" t="inlineStr">
        <is>
          <t>장바구니</t>
        </is>
      </c>
      <c r="C7" s="6" t="inlineStr">
        <is>
          <t>가격 변동</t>
        </is>
      </c>
      <c r="D7" s="6" t="inlineStr"/>
      <c r="E7" s="6" t="inlineStr">
        <is>
          <t>리스크 기반</t>
        </is>
      </c>
      <c r="F7" s="6" t="inlineStr">
        <is>
          <t>비결제</t>
        </is>
      </c>
      <c r="G7" s="6" t="inlineStr">
        <is>
          <t>API</t>
        </is>
      </c>
      <c r="H7" s="6" t="inlineStr">
        <is>
          <t>P2</t>
        </is>
      </c>
      <c r="I7" s="12" t="inlineStr">
        <is>
          <t>타임세일·브랜드위크 종료 임박 상품을 세일가로 장바구니에 담음</t>
        </is>
      </c>
      <c r="J7" s="12" t="inlineStr">
        <is>
          <t>1. 세일 종료 후 장바구니 진입
2. 주문서 진입</t>
        </is>
      </c>
      <c r="K7" s="12" t="inlineStr">
        <is>
          <t>세일 종료 상품</t>
        </is>
      </c>
      <c r="L7" s="12" t="inlineStr">
        <is>
          <t>1. 장바구니 가격이 현재 판매가로 갱신되고 변동 안내가 표시된다
2. 주문서 금액도 현재 판매가 기준이며 담을 때 가격으로 결제되지 않는다</t>
        </is>
      </c>
      <c r="M7" s="6" t="inlineStr">
        <is>
          <t>Q05</t>
        </is>
      </c>
      <c r="N7" s="13" t="n"/>
      <c r="O7" s="14" t="n"/>
      <c r="P7" s="13" t="n"/>
      <c r="Q7" s="13" t="n"/>
      <c r="R7" s="13" t="n"/>
      <c r="S7" s="13" t="n"/>
      <c r="T7" s="12" t="n"/>
    </row>
    <row r="8" ht="49" customHeight="1">
      <c r="A8" s="6" t="inlineStr">
        <is>
          <t>TC-CART-007</t>
        </is>
      </c>
      <c r="B8" s="6" t="inlineStr">
        <is>
          <t>장바구니</t>
        </is>
      </c>
      <c r="C8" s="6" t="inlineStr">
        <is>
          <t>브랜드 분리</t>
        </is>
      </c>
      <c r="D8" s="6" t="inlineStr">
        <is>
          <t>REQ-12</t>
        </is>
      </c>
      <c r="E8" s="6" t="inlineStr">
        <is>
          <t>요구사항</t>
        </is>
      </c>
      <c r="F8" s="6" t="inlineStr">
        <is>
          <t>비결제</t>
        </is>
      </c>
      <c r="G8" s="6" t="inlineStr">
        <is>
          <t>API</t>
        </is>
      </c>
      <c r="H8" s="6" t="inlineStr">
        <is>
          <t>P1</t>
        </is>
      </c>
      <c r="I8" s="12" t="inlineStr">
        <is>
          <t>브랜드가 다른 상품 2개(각각 배송비 정책 상이)를 담음</t>
        </is>
      </c>
      <c r="J8" s="12" t="inlineStr">
        <is>
          <t>1. 장바구니 진입
2. 브랜드별 그룹과 배송비 표기 확인
3. 전체 선택 후 합계 확인</t>
        </is>
      </c>
      <c r="K8" s="12" t="inlineStr">
        <is>
          <t>브랜드 A 상품, 브랜드 B 상품</t>
        </is>
      </c>
      <c r="L8" s="12" t="inlineStr">
        <is>
          <t>1. 상품이 브랜드별로 그룹화되어 표시된다
2. 배송비가 브랜드별로 표기되고 합계 배송비가 각 배송비의 합과 일치한다</t>
        </is>
      </c>
      <c r="M8" s="6" t="inlineStr">
        <is>
          <t>Q01</t>
        </is>
      </c>
      <c r="N8" s="13" t="n"/>
      <c r="O8" s="14" t="n"/>
      <c r="P8" s="13" t="n"/>
      <c r="Q8" s="13" t="n"/>
      <c r="R8" s="13" t="n"/>
      <c r="S8" s="13" t="n"/>
      <c r="T8" s="12" t="n"/>
    </row>
    <row r="9" ht="64" customHeight="1">
      <c r="A9" s="6" t="inlineStr">
        <is>
          <t>TC-CART-008</t>
        </is>
      </c>
      <c r="B9" s="6" t="inlineStr">
        <is>
          <t>장바구니</t>
        </is>
      </c>
      <c r="C9" s="6" t="inlineStr">
        <is>
          <t>배송 옵션</t>
        </is>
      </c>
      <c r="D9" s="6" t="inlineStr">
        <is>
          <t>REQ-12</t>
        </is>
      </c>
      <c r="E9" s="6" t="inlineStr">
        <is>
          <t>요구사항</t>
        </is>
      </c>
      <c r="F9" s="6" t="inlineStr">
        <is>
          <t>비결제</t>
        </is>
      </c>
      <c r="G9" s="6" t="inlineStr">
        <is>
          <t>UI</t>
        </is>
      </c>
      <c r="H9" s="6" t="inlineStr">
        <is>
          <t>P2</t>
        </is>
      </c>
      <c r="I9" s="12" t="inlineStr">
        <is>
          <t>일반 배송 옵션과 무배당발 옵션이 함께 판매되는 상품 확인(상세의 옵션 목록)</t>
        </is>
      </c>
      <c r="J9" s="12" t="inlineStr">
        <is>
          <t>1. 일반 배송 옵션 담기
2. 무배당발 옵션 담기
3. 장바구니에서 두 행의 배송 표기 확인</t>
        </is>
      </c>
      <c r="K9" s="12" t="inlineStr">
        <is>
          <t>동일 상품 일반/무배당발 옵션</t>
        </is>
      </c>
      <c r="L9" s="12" t="inlineStr">
        <is>
          <t>1. 두 옵션이 별도 행으로 표시된다
2. 무배당발 행에는 도착 보장일·무료배송 표기가, 일반 행에는 브랜드 배송비·도착 예정일이 표시된다</t>
        </is>
      </c>
      <c r="M9" s="6" t="inlineStr">
        <is>
          <t>Q01</t>
        </is>
      </c>
      <c r="N9" s="13" t="n"/>
      <c r="O9" s="14" t="n"/>
      <c r="P9" s="13" t="n"/>
      <c r="Q9" s="13" t="n"/>
      <c r="R9" s="13" t="n"/>
      <c r="S9" s="13" t="n"/>
      <c r="T9" s="12" t="n"/>
    </row>
    <row r="10" ht="49" customHeight="1">
      <c r="A10" s="6" t="inlineStr">
        <is>
          <t>TC-CART-009</t>
        </is>
      </c>
      <c r="B10" s="6" t="inlineStr">
        <is>
          <t>장바구니</t>
        </is>
      </c>
      <c r="C10" s="6" t="inlineStr">
        <is>
          <t>유지</t>
        </is>
      </c>
      <c r="D10" s="6" t="inlineStr"/>
      <c r="E10" s="6" t="inlineStr">
        <is>
          <t>리스크 기반</t>
        </is>
      </c>
      <c r="F10" s="6" t="inlineStr">
        <is>
          <t>비결제</t>
        </is>
      </c>
      <c r="G10" s="6" t="inlineStr">
        <is>
          <t>UI</t>
        </is>
      </c>
      <c r="H10" s="6" t="inlineStr">
        <is>
          <t>P2</t>
        </is>
      </c>
      <c r="I10" s="12" t="inlineStr">
        <is>
          <t>장바구니에 상품 2개, 1개는 선택 해제 상태</t>
        </is>
      </c>
      <c r="J10" s="12" t="inlineStr">
        <is>
          <t>1. 앱 스위처에서 앱 강제 종료
2. 앱 재실행 후 장바구니 진입
3. 로그아웃 → 로그인 후 장바구니 진입</t>
        </is>
      </c>
      <c r="K10" s="12" t="inlineStr">
        <is>
          <t>상품 P1(선택), P2(해제)</t>
        </is>
      </c>
      <c r="L10" s="12" t="inlineStr">
        <is>
          <t>1~2. 상품과 수량이 유지된다(선택 상태 유지 여부는 기록)
3. 재로그인 후에도 동일하게 유지된다</t>
        </is>
      </c>
      <c r="M10" s="6" t="inlineStr">
        <is>
          <t>Q08</t>
        </is>
      </c>
      <c r="N10" s="13" t="n"/>
      <c r="O10" s="14" t="n"/>
      <c r="P10" s="13" t="n"/>
      <c r="Q10" s="13" t="n"/>
      <c r="R10" s="13" t="n"/>
      <c r="S10" s="13" t="n"/>
      <c r="T10" s="12" t="n"/>
    </row>
    <row r="11" ht="64" customHeight="1">
      <c r="A11" s="6" t="inlineStr">
        <is>
          <t>TC-CART-010</t>
        </is>
      </c>
      <c r="B11" s="6" t="inlineStr">
        <is>
          <t>장바구니</t>
        </is>
      </c>
      <c r="C11" s="6" t="inlineStr">
        <is>
          <t>동기화</t>
        </is>
      </c>
      <c r="D11" s="6" t="inlineStr"/>
      <c r="E11" s="6" t="inlineStr">
        <is>
          <t>추가 검증</t>
        </is>
      </c>
      <c r="F11" s="6" t="inlineStr">
        <is>
          <t>비결제</t>
        </is>
      </c>
      <c r="G11" s="6" t="inlineStr">
        <is>
          <t>API</t>
        </is>
      </c>
      <c r="H11" s="6" t="inlineStr">
        <is>
          <t>P3</t>
        </is>
      </c>
      <c r="I11" s="12" t="inlineStr">
        <is>
          <t>같은 계정으로 웹(Safari) 로그인</t>
        </is>
      </c>
      <c r="J11" s="12" t="inlineStr">
        <is>
          <t>1. 웹에서 상품 P4 담기
2. 앱 장바구니 새로고침(당겨서 새로고침 또는 재진입)
3. 앱에서 P4 삭제 후 웹 새로고침</t>
        </is>
      </c>
      <c r="K11" s="12" t="inlineStr">
        <is>
          <t>상품 P4</t>
        </is>
      </c>
      <c r="L11" s="12" t="inlineStr">
        <is>
          <t>1~2. 앱 장바구니에 P4가 나타난다
3. 웹에서도 P4가 사라진다</t>
        </is>
      </c>
      <c r="M11" s="6" t="inlineStr">
        <is>
          <t>Q08</t>
        </is>
      </c>
      <c r="N11" s="13" t="n"/>
      <c r="O11" s="14" t="n"/>
      <c r="P11" s="13" t="n"/>
      <c r="Q11" s="13" t="n"/>
      <c r="R11" s="13" t="n"/>
      <c r="S11" s="13" t="n"/>
      <c r="T11" s="12" t="n"/>
    </row>
    <row r="12" ht="64" customHeight="1">
      <c r="A12" s="6" t="inlineStr">
        <is>
          <t>TC-CART-011</t>
        </is>
      </c>
      <c r="B12" s="6" t="inlineStr">
        <is>
          <t>장바구니</t>
        </is>
      </c>
      <c r="C12" s="6" t="inlineStr">
        <is>
          <t>쿠폰 미리보기</t>
        </is>
      </c>
      <c r="D12" s="6" t="inlineStr">
        <is>
          <t>REQ-07</t>
        </is>
      </c>
      <c r="E12" s="6" t="inlineStr">
        <is>
          <t>요구사항</t>
        </is>
      </c>
      <c r="F12" s="6" t="inlineStr">
        <is>
          <t>비결제</t>
        </is>
      </c>
      <c r="G12" s="6" t="inlineStr">
        <is>
          <t>UI</t>
        </is>
      </c>
      <c r="H12" s="6" t="inlineStr">
        <is>
          <t>P2</t>
        </is>
      </c>
      <c r="I12" s="12" t="inlineStr">
        <is>
          <t>사용 가능 쿠폰 보유, 쿠폰 적용 대상 상품이 장바구니에 있음</t>
        </is>
      </c>
      <c r="J12" s="12" t="inlineStr">
        <is>
          <t>1. 장바구니에서 쿠폰 적용(또는 '쿠폰 적용가 보기')
2. 할인 후 금액 확인
3. 주문서 진입</t>
        </is>
      </c>
      <c r="K12" s="12" t="inlineStr">
        <is>
          <t>등급 쿠폰 C1</t>
        </is>
      </c>
      <c r="L12" s="12" t="inlineStr">
        <is>
          <t>1. 상품 행에 쿠폰 할인가가 표시된다
2. 주문서에 같은 쿠폰이 적용된 상태로 진입되고 할인 금액이 동일하다</t>
        </is>
      </c>
      <c r="M12" s="6" t="inlineStr"/>
      <c r="N12" s="13" t="n"/>
      <c r="O12" s="14" t="n"/>
      <c r="P12" s="13" t="n"/>
      <c r="Q12" s="13" t="n"/>
      <c r="R12" s="13" t="n"/>
      <c r="S12" s="13" t="n"/>
      <c r="T12" s="12" t="n"/>
    </row>
    <row r="13" ht="49" customHeight="1">
      <c r="A13" s="6" t="inlineStr">
        <is>
          <t>TC-ORD-001</t>
        </is>
      </c>
      <c r="B13" s="6" t="inlineStr">
        <is>
          <t>주문서·금액</t>
        </is>
      </c>
      <c r="C13" s="6" t="inlineStr">
        <is>
          <t>진입</t>
        </is>
      </c>
      <c r="D13" s="6" t="inlineStr"/>
      <c r="E13" s="6" t="inlineStr">
        <is>
          <t>추가 검증</t>
        </is>
      </c>
      <c r="F13" s="6" t="inlineStr">
        <is>
          <t>비결제</t>
        </is>
      </c>
      <c r="G13" s="6" t="inlineStr">
        <is>
          <t>UI</t>
        </is>
      </c>
      <c r="H13" s="6" t="inlineStr">
        <is>
          <t>P1</t>
        </is>
      </c>
      <c r="I13" s="12" t="inlineStr">
        <is>
          <t>장바구니에 상품 3개, 그중 2개만 선택</t>
        </is>
      </c>
      <c r="J13" s="12" t="inlineStr">
        <is>
          <t>1. [주문하기] 탭
2. 주문서의 상품 목록·수량·옵션·금액 확인</t>
        </is>
      </c>
      <c r="K13" s="12" t="inlineStr">
        <is>
          <t>상품 P1, P2 선택 / P3 미선택</t>
        </is>
      </c>
      <c r="L13" s="12" t="inlineStr">
        <is>
          <t>1. 선택한 2개 상품만 주문서에 표시된다
2. 옵션·수량·판매가가 장바구니와 일치한다</t>
        </is>
      </c>
      <c r="M13" s="6" t="inlineStr"/>
      <c r="N13" s="13" t="n"/>
      <c r="O13" s="14" t="n"/>
      <c r="P13" s="13" t="n"/>
      <c r="Q13" s="13" t="n"/>
      <c r="R13" s="13" t="n"/>
      <c r="S13" s="13" t="n"/>
      <c r="T13" s="12" t="n"/>
    </row>
    <row r="14" ht="79" customHeight="1">
      <c r="A14" s="6" t="inlineStr">
        <is>
          <t>TC-ORD-002</t>
        </is>
      </c>
      <c r="B14" s="6" t="inlineStr">
        <is>
          <t>주문서·금액</t>
        </is>
      </c>
      <c r="C14" s="6" t="inlineStr">
        <is>
          <t>금액 정합성</t>
        </is>
      </c>
      <c r="D14" s="6" t="inlineStr">
        <is>
          <t>REQ-04, REQ-08</t>
        </is>
      </c>
      <c r="E14" s="6" t="inlineStr">
        <is>
          <t>리스크 기반</t>
        </is>
      </c>
      <c r="F14" s="6" t="inlineStr">
        <is>
          <t>비결제</t>
        </is>
      </c>
      <c r="G14" s="6" t="inlineStr">
        <is>
          <t>API</t>
        </is>
      </c>
      <c r="H14" s="6" t="inlineStr">
        <is>
          <t>P1</t>
        </is>
      </c>
      <c r="I14" s="12" t="inlineStr">
        <is>
          <t>등급 할인 대상 계정, 쿠폰 1장, 적립금 5,000원 이상 보유, 배송비 유료 브랜드 상품 1개</t>
        </is>
      </c>
      <c r="J14" s="12" t="inlineStr">
        <is>
          <t>1. 주문서에서 쿠폰 적용, 적립금 1,000원 사용
2. 상품 금액·등급 할인·쿠폰 할인·적립금·배송비·최종 결제 금액을 모두 기록
3. 수기로 합산 검증</t>
        </is>
      </c>
      <c r="K14" s="12" t="inlineStr">
        <is>
          <t>상품 P5(유료 배송), 쿠폰 C1, 적립금 1,000원</t>
        </is>
      </c>
      <c r="L14" s="12" t="inlineStr">
        <is>
          <t>1. 상품 금액 − 등급 할인 − 쿠폰 할인 − 적립금 + 배송비 = 최종 결제 금액이 1원 단위까지 일치한다
2. 각 항목이 주문서에 개별 표시된다</t>
        </is>
      </c>
      <c r="M14" s="6" t="inlineStr">
        <is>
          <t>Q03</t>
        </is>
      </c>
      <c r="N14" s="13" t="n"/>
      <c r="O14" s="14" t="n"/>
      <c r="P14" s="13" t="n"/>
      <c r="Q14" s="13" t="n"/>
      <c r="R14" s="13" t="n"/>
      <c r="S14" s="13" t="n"/>
      <c r="T14" s="12" t="n"/>
    </row>
    <row r="15" ht="64" customHeight="1">
      <c r="A15" s="6" t="inlineStr">
        <is>
          <t>TC-ORD-003</t>
        </is>
      </c>
      <c r="B15" s="6" t="inlineStr">
        <is>
          <t>주문서·금액</t>
        </is>
      </c>
      <c r="C15" s="6" t="inlineStr">
        <is>
          <t>등급 할인</t>
        </is>
      </c>
      <c r="D15" s="6" t="inlineStr">
        <is>
          <t>REQ-08</t>
        </is>
      </c>
      <c r="E15" s="6" t="inlineStr">
        <is>
          <t>요구사항</t>
        </is>
      </c>
      <c r="F15" s="6" t="inlineStr">
        <is>
          <t>비결제</t>
        </is>
      </c>
      <c r="G15" s="6" t="inlineStr">
        <is>
          <t>API</t>
        </is>
      </c>
      <c r="H15" s="6" t="inlineStr">
        <is>
          <t>P1</t>
        </is>
      </c>
      <c r="I15" s="12" t="inlineStr">
        <is>
          <t>마이 &gt; 등급 혜택 안내에서 현재 등급 할인율 확인</t>
        </is>
      </c>
      <c r="J15" s="12" t="inlineStr">
        <is>
          <t>1. 할인 적용 가능 상품으로 주문서 진입
2. 등급 할인 금액 확인</t>
        </is>
      </c>
      <c r="K15" s="12" t="inlineStr">
        <is>
          <t>등급 할인율 r%</t>
        </is>
      </c>
      <c r="L15" s="12" t="inlineStr">
        <is>
          <t>1. 등급 할인 금액이 상품 금액 × r%(원 단위 처리 규칙 기록)와 일치한다
2. 등급 할인 제외 상품은 할인이 적용되지 않고 안내가 표시된다</t>
        </is>
      </c>
      <c r="M15" s="6" t="inlineStr">
        <is>
          <t>Q03</t>
        </is>
      </c>
      <c r="N15" s="13" t="n"/>
      <c r="O15" s="14" t="n"/>
      <c r="P15" s="13" t="n"/>
      <c r="Q15" s="13" t="n"/>
      <c r="R15" s="13" t="n"/>
      <c r="S15" s="13" t="n"/>
      <c r="T15" s="12" t="n"/>
    </row>
    <row r="16" ht="64" customHeight="1">
      <c r="A16" s="6" t="inlineStr">
        <is>
          <t>TC-ORD-004</t>
        </is>
      </c>
      <c r="B16" s="6" t="inlineStr">
        <is>
          <t>주문서·금액</t>
        </is>
      </c>
      <c r="C16" s="6" t="inlineStr">
        <is>
          <t>품절 차단</t>
        </is>
      </c>
      <c r="D16" s="6" t="inlineStr">
        <is>
          <t>REQ-10</t>
        </is>
      </c>
      <c r="E16" s="6" t="inlineStr">
        <is>
          <t>리스크 기반</t>
        </is>
      </c>
      <c r="F16" s="6" t="inlineStr">
        <is>
          <t>비결제</t>
        </is>
      </c>
      <c r="G16" s="6" t="inlineStr">
        <is>
          <t>API</t>
        </is>
      </c>
      <c r="H16" s="6" t="inlineStr">
        <is>
          <t>P2</t>
        </is>
      </c>
      <c r="I16" s="12" t="inlineStr">
        <is>
          <t>재고 1인 옵션으로 주문서까지 진입, 보조 계정 준비</t>
        </is>
      </c>
      <c r="J16" s="12" t="inlineStr">
        <is>
          <t>1. 주문서를 열어둔 상태에서 보조 계정으로 해당 옵션 구매(품절화)
2. 앱에서 [결제하기] 탭</t>
        </is>
      </c>
      <c r="K16" s="12" t="inlineStr">
        <is>
          <t>재고 1 옵션, 보조 계정</t>
        </is>
      </c>
      <c r="L16" s="12" t="inlineStr">
        <is>
          <t>1. 결제가 진행되지 않고 품절 안내가 표시된다
2. 주문·결제가 생성되지 않는다(주문 내역 확인)</t>
        </is>
      </c>
      <c r="M16" s="6" t="inlineStr">
        <is>
          <t>Q05</t>
        </is>
      </c>
      <c r="N16" s="13" t="n"/>
      <c r="O16" s="14" t="n"/>
      <c r="P16" s="13" t="n"/>
      <c r="Q16" s="13" t="n"/>
      <c r="R16" s="13" t="n"/>
      <c r="S16" s="13" t="n"/>
      <c r="T16" s="12" t="n"/>
    </row>
    <row r="17" ht="49" customHeight="1">
      <c r="A17" s="6" t="inlineStr">
        <is>
          <t>TC-ORD-005</t>
        </is>
      </c>
      <c r="B17" s="6" t="inlineStr">
        <is>
          <t>주문서·금액</t>
        </is>
      </c>
      <c r="C17" s="6" t="inlineStr">
        <is>
          <t>적립금 혼합</t>
        </is>
      </c>
      <c r="D17" s="6" t="inlineStr">
        <is>
          <t>REQ-05</t>
        </is>
      </c>
      <c r="E17" s="6" t="inlineStr">
        <is>
          <t>요구사항</t>
        </is>
      </c>
      <c r="F17" s="6" t="inlineStr">
        <is>
          <t>비결제</t>
        </is>
      </c>
      <c r="G17" s="6" t="inlineStr">
        <is>
          <t>API</t>
        </is>
      </c>
      <c r="H17" s="6" t="inlineStr">
        <is>
          <t>P2</t>
        </is>
      </c>
      <c r="I17" s="12" t="inlineStr">
        <is>
          <t>적립금 사용 불가 상품 P6과 사용 가능 상품 P1을 함께 선택</t>
        </is>
      </c>
      <c r="J17" s="12" t="inlineStr">
        <is>
          <t>1. 주문서 진입
2. 적립금 사용 가능 금액(최대) 확인
3. 최대 금액 적용</t>
        </is>
      </c>
      <c r="K17" s="12" t="inlineStr">
        <is>
          <t>상품 P6(적립금 불가), P1</t>
        </is>
      </c>
      <c r="L17" s="12" t="inlineStr">
        <is>
          <t>1. P6에 적립금 사용 불가 안내가 표시된다
2. 최대 사용 가능 금액이 P1 기준 7%로 계산되는지 기록한다(Q12 회신 후 확정)</t>
        </is>
      </c>
      <c r="M17" s="6" t="inlineStr">
        <is>
          <t>Q12</t>
        </is>
      </c>
      <c r="N17" s="13" t="n"/>
      <c r="O17" s="14" t="n"/>
      <c r="P17" s="13" t="n"/>
      <c r="Q17" s="13" t="n"/>
      <c r="R17" s="13" t="n"/>
      <c r="S17" s="13" t="n"/>
      <c r="T17" s="12" t="n"/>
    </row>
    <row r="18" ht="49" customHeight="1">
      <c r="A18" s="6" t="inlineStr">
        <is>
          <t>TC-ORD-006</t>
        </is>
      </c>
      <c r="B18" s="6" t="inlineStr">
        <is>
          <t>주문서·금액</t>
        </is>
      </c>
      <c r="C18" s="6" t="inlineStr">
        <is>
          <t>입력 검증</t>
        </is>
      </c>
      <c r="D18" s="6" t="inlineStr"/>
      <c r="E18" s="6" t="inlineStr">
        <is>
          <t>추가 검증</t>
        </is>
      </c>
      <c r="F18" s="6" t="inlineStr">
        <is>
          <t>비결제</t>
        </is>
      </c>
      <c r="G18" s="6" t="inlineStr">
        <is>
          <t>UI</t>
        </is>
      </c>
      <c r="H18" s="6" t="inlineStr">
        <is>
          <t>P2</t>
        </is>
      </c>
      <c r="I18" s="12" t="inlineStr">
        <is>
          <t>배송지 미등록 신규 계정 또는 배송지 전체 삭제 상태</t>
        </is>
      </c>
      <c r="J18" s="12" t="inlineStr">
        <is>
          <t>1. 배송지 없이 [결제하기]
2. 수령인/연락처 공란으로 [결제하기]
3. 연락처에 문자·10자리 미만 입력</t>
        </is>
      </c>
      <c r="K18" s="12" t="inlineStr">
        <is>
          <t>공란, '010-12', 'abc'</t>
        </is>
      </c>
      <c r="L18" s="12" t="inlineStr">
        <is>
          <t>1~2. 결제가 진행되지 않고 누락 항목에 오류 메시지와 포커스가 이동한다
3. 형식 오류 안내가 표시된다</t>
        </is>
      </c>
      <c r="M18" s="6" t="inlineStr"/>
      <c r="N18" s="13" t="n"/>
      <c r="O18" s="14" t="n"/>
      <c r="P18" s="13" t="n"/>
      <c r="Q18" s="13" t="n"/>
      <c r="R18" s="13" t="n"/>
      <c r="S18" s="13" t="n"/>
      <c r="T18" s="12" t="n"/>
    </row>
    <row r="19" ht="64" customHeight="1">
      <c r="A19" s="6" t="inlineStr">
        <is>
          <t>TC-ORD-007</t>
        </is>
      </c>
      <c r="B19" s="6" t="inlineStr">
        <is>
          <t>주문서·금액</t>
        </is>
      </c>
      <c r="C19" s="6" t="inlineStr">
        <is>
          <t>이탈 복귀</t>
        </is>
      </c>
      <c r="D19" s="6" t="inlineStr"/>
      <c r="E19" s="6" t="inlineStr">
        <is>
          <t>추가 검증</t>
        </is>
      </c>
      <c r="F19" s="6" t="inlineStr">
        <is>
          <t>비결제</t>
        </is>
      </c>
      <c r="G19" s="6" t="inlineStr">
        <is>
          <t>UI</t>
        </is>
      </c>
      <c r="H19" s="6" t="inlineStr">
        <is>
          <t>P3</t>
        </is>
      </c>
      <c r="I19" s="12" t="inlineStr">
        <is>
          <t>주문서에서 쿠폰·적립금 적용, 배송 요청사항 입력</t>
        </is>
      </c>
      <c r="J19" s="12" t="inlineStr">
        <is>
          <t>1. 뒤로가기로 장바구니 복귀
2. 다시 [주문하기]</t>
        </is>
      </c>
      <c r="K19" s="12" t="inlineStr">
        <is>
          <t>쿠폰 C1, 적립금 1,000원</t>
        </is>
      </c>
      <c r="L19" s="12" t="inlineStr">
        <is>
          <t>1. 장바구니 상태가 유지된다
2. 쿠폰·적립금·요청사항의 유지/초기화 여부가 일관되고 금액이 재계산된다(현재 동작 기록)</t>
        </is>
      </c>
      <c r="M19" s="6" t="inlineStr"/>
      <c r="N19" s="13" t="n"/>
      <c r="O19" s="14" t="n"/>
      <c r="P19" s="13" t="n"/>
      <c r="Q19" s="13" t="n"/>
      <c r="R19" s="13" t="n"/>
      <c r="S19" s="13" t="n"/>
      <c r="T19" s="12" t="n"/>
    </row>
    <row r="20" ht="64" customHeight="1">
      <c r="A20" s="6" t="inlineStr">
        <is>
          <t>TC-ORD-008</t>
        </is>
      </c>
      <c r="B20" s="6" t="inlineStr">
        <is>
          <t>주문서·금액</t>
        </is>
      </c>
      <c r="C20" s="6" t="inlineStr">
        <is>
          <t>선할인</t>
        </is>
      </c>
      <c r="D20" s="6" t="inlineStr">
        <is>
          <t>REQ-06</t>
        </is>
      </c>
      <c r="E20" s="6" t="inlineStr">
        <is>
          <t>요구사항</t>
        </is>
      </c>
      <c r="F20" s="6" t="inlineStr">
        <is>
          <t>비결제</t>
        </is>
      </c>
      <c r="G20" s="6" t="inlineStr">
        <is>
          <t>API</t>
        </is>
      </c>
      <c r="H20" s="6" t="inlineStr">
        <is>
          <t>P2</t>
        </is>
      </c>
      <c r="I20" s="12" t="inlineStr">
        <is>
          <t>적립금 선할인 적용 가능 상품</t>
        </is>
      </c>
      <c r="J20" s="12" t="inlineStr">
        <is>
          <t>1. 주문서에서 적립금 선할인 선택
2. 안내 문구·할인 금액 확인
3. 선할인 해제</t>
        </is>
      </c>
      <c r="K20" s="12" t="inlineStr">
        <is>
          <t>선할인 가능 상품</t>
        </is>
      </c>
      <c r="L20" s="12" t="inlineStr">
        <is>
          <t>1. '구매 확정 후 적립금 미지급' 취지의 안내가 표시된다
2. 최종 결제 금액에 선할인이 반영된다
3. 해제 시 원래 금액으로 복원된다</t>
        </is>
      </c>
      <c r="M20" s="6" t="inlineStr">
        <is>
          <t>Q04</t>
        </is>
      </c>
      <c r="N20" s="13" t="n"/>
      <c r="O20" s="14" t="n"/>
      <c r="P20" s="13" t="n"/>
      <c r="Q20" s="13" t="n"/>
      <c r="R20" s="13" t="n"/>
      <c r="S20" s="13" t="n"/>
      <c r="T20" s="12" t="n"/>
    </row>
    <row r="21" ht="64" customHeight="1">
      <c r="A21" s="6" t="inlineStr">
        <is>
          <t>TC-ORD-009</t>
        </is>
      </c>
      <c r="B21" s="6" t="inlineStr">
        <is>
          <t>주문서·금액</t>
        </is>
      </c>
      <c r="C21" s="6" t="inlineStr">
        <is>
          <t>표기</t>
        </is>
      </c>
      <c r="D21" s="6" t="inlineStr"/>
      <c r="E21" s="6" t="inlineStr">
        <is>
          <t>추가 검증</t>
        </is>
      </c>
      <c r="F21" s="6" t="inlineStr">
        <is>
          <t>비결제</t>
        </is>
      </c>
      <c r="G21" s="6" t="inlineStr">
        <is>
          <t>UI</t>
        </is>
      </c>
      <c r="H21" s="6" t="inlineStr">
        <is>
          <t>P3</t>
        </is>
      </c>
      <c r="I21" s="12" t="inlineStr">
        <is>
          <t>합계가 100만 원 이상이 되도록 상품 구성</t>
        </is>
      </c>
      <c r="J21" s="12" t="inlineStr">
        <is>
          <t>1. 주문서 금액 영역 확인</t>
        </is>
      </c>
      <c r="K21" s="12" t="inlineStr">
        <is>
          <t>고가 상품 2개</t>
        </is>
      </c>
      <c r="L21" s="12" t="inlineStr">
        <is>
          <t>1. 모든 금액에 천 단위 콤마와 '원'이 일관되게 표기된다
2. 할인 항목은 음수(−) 또는 별도 색으로 구분되고 잘림이 없다</t>
        </is>
      </c>
      <c r="M21" s="6" t="inlineStr"/>
      <c r="N21" s="13" t="n"/>
      <c r="O21" s="14" t="n"/>
      <c r="P21" s="13" t="n"/>
      <c r="Q21" s="13" t="n"/>
      <c r="R21" s="13" t="n"/>
      <c r="S21" s="13" t="n"/>
      <c r="T21" s="12" t="n"/>
    </row>
    <row r="22" ht="64" customHeight="1">
      <c r="A22" s="6" t="inlineStr">
        <is>
          <t>TC-ORD-010</t>
        </is>
      </c>
      <c r="B22" s="6" t="inlineStr">
        <is>
          <t>주문서·금액</t>
        </is>
      </c>
      <c r="C22" s="6" t="inlineStr">
        <is>
          <t>수량 변경</t>
        </is>
      </c>
      <c r="D22" s="6" t="inlineStr"/>
      <c r="E22" s="6" t="inlineStr">
        <is>
          <t>추가 검증</t>
        </is>
      </c>
      <c r="F22" s="6" t="inlineStr">
        <is>
          <t>비결제</t>
        </is>
      </c>
      <c r="G22" s="6" t="inlineStr">
        <is>
          <t>UI</t>
        </is>
      </c>
      <c r="H22" s="6" t="inlineStr">
        <is>
          <t>P3</t>
        </is>
      </c>
      <c r="I22" s="12" t="inlineStr">
        <is>
          <t>주문서에 수량 2 상품</t>
        </is>
      </c>
      <c r="J22" s="12" t="inlineStr">
        <is>
          <t>1. 주문서에서 수량 변경 UI 유무 확인
2. 있으면 수량 1로 변경</t>
        </is>
      </c>
      <c r="K22" s="12" t="inlineStr">
        <is>
          <t>상품 P1 수량 2</t>
        </is>
      </c>
      <c r="L22" s="12" t="inlineStr">
        <is>
          <t>1. 수량 변경이 가능하면 금액·쿠폰·적립금 한도가 즉시 재계산된다
2. 불가하면 장바구니로 안내된다(현재 동작 기록)</t>
        </is>
      </c>
      <c r="M22" s="6" t="inlineStr">
        <is>
          <t>Q03</t>
        </is>
      </c>
      <c r="N22" s="13" t="n"/>
      <c r="O22" s="14" t="n"/>
      <c r="P22" s="13" t="n"/>
      <c r="Q22" s="13" t="n"/>
      <c r="R22" s="13" t="n"/>
      <c r="S22" s="13" t="n"/>
      <c r="T22" s="12" t="n"/>
    </row>
    <row r="23" ht="79" customHeight="1">
      <c r="A23" s="6" t="inlineStr">
        <is>
          <t>TC-CPN-001</t>
        </is>
      </c>
      <c r="B23" s="6" t="inlineStr">
        <is>
          <t>쿠폰</t>
        </is>
      </c>
      <c r="C23" s="6" t="inlineStr">
        <is>
          <t>적용·해제</t>
        </is>
      </c>
      <c r="D23" s="6" t="inlineStr">
        <is>
          <t>REQ-07</t>
        </is>
      </c>
      <c r="E23" s="6" t="inlineStr">
        <is>
          <t>요구사항</t>
        </is>
      </c>
      <c r="F23" s="6" t="inlineStr">
        <is>
          <t>비결제</t>
        </is>
      </c>
      <c r="G23" s="6" t="inlineStr">
        <is>
          <t>API</t>
        </is>
      </c>
      <c r="H23" s="6" t="inlineStr">
        <is>
          <t>P1</t>
        </is>
      </c>
      <c r="I23" s="12" t="inlineStr">
        <is>
          <t>쿠폰 적용 대상 상품 P1, 비대상 상품 P7이 주문서에 있음, 쿠폰 C1 보유</t>
        </is>
      </c>
      <c r="J23" s="12" t="inlineStr">
        <is>
          <t>1. P1에 쿠폰 C1 적용
2. 금액 확인
3. 쿠폰 해제</t>
        </is>
      </c>
      <c r="K23" s="12" t="inlineStr">
        <is>
          <t>쿠폰 C1(정률 10%)</t>
        </is>
      </c>
      <c r="L23" s="12" t="inlineStr">
        <is>
          <t>1. P1 행에만 할인이 반영되고 P7 금액은 변동 없다
2. 쿠폰 할인 = P1 금액 × 10%(원 단위 규칙 기록)
3. 해제 시 원복된다</t>
        </is>
      </c>
      <c r="M23" s="6" t="inlineStr"/>
      <c r="N23" s="13" t="n"/>
      <c r="O23" s="14" t="n"/>
      <c r="P23" s="13" t="n"/>
      <c r="Q23" s="13" t="n"/>
      <c r="R23" s="13" t="n"/>
      <c r="S23" s="13" t="n"/>
      <c r="T23" s="12" t="n"/>
    </row>
    <row r="24" ht="64" customHeight="1">
      <c r="A24" s="6" t="inlineStr">
        <is>
          <t>TC-CPN-002</t>
        </is>
      </c>
      <c r="B24" s="6" t="inlineStr">
        <is>
          <t>쿠폰</t>
        </is>
      </c>
      <c r="C24" s="6" t="inlineStr">
        <is>
          <t>제외 상품</t>
        </is>
      </c>
      <c r="D24" s="6" t="inlineStr">
        <is>
          <t>REQ-07</t>
        </is>
      </c>
      <c r="E24" s="6" t="inlineStr">
        <is>
          <t>요구사항</t>
        </is>
      </c>
      <c r="F24" s="6" t="inlineStr">
        <is>
          <t>비결제</t>
        </is>
      </c>
      <c r="G24" s="6" t="inlineStr">
        <is>
          <t>API</t>
        </is>
      </c>
      <c r="H24" s="6" t="inlineStr">
        <is>
          <t>P1</t>
        </is>
      </c>
      <c r="I24" s="12" t="inlineStr">
        <is>
          <t>쿠폰 사용 제한 상품 P7(상세에 '쿠폰 적용 불가' 표기) 주문서</t>
        </is>
      </c>
      <c r="J24" s="12" t="inlineStr">
        <is>
          <t>1. P7의 쿠폰 선택 영역 확인
2. 쿠폰 목록 열기</t>
        </is>
      </c>
      <c r="K24" s="12" t="inlineStr">
        <is>
          <t>상품 P7</t>
        </is>
      </c>
      <c r="L24" s="12" t="inlineStr">
        <is>
          <t>1. 사용 불가 안내가 표시되거나 선택 영역이 비활성이다
2. 목록에 C1이 '사용 불가'로 표시되거나 노출되지 않는다</t>
        </is>
      </c>
      <c r="M24" s="6" t="inlineStr"/>
      <c r="N24" s="13" t="n"/>
      <c r="O24" s="14" t="n"/>
      <c r="P24" s="13" t="n"/>
      <c r="Q24" s="13" t="n"/>
      <c r="R24" s="13" t="n"/>
      <c r="S24" s="13" t="n"/>
      <c r="T24" s="12" t="n"/>
    </row>
    <row r="25" ht="64" customHeight="1">
      <c r="A25" s="6" t="inlineStr">
        <is>
          <t>TC-CPN-003</t>
        </is>
      </c>
      <c r="B25" s="6" t="inlineStr">
        <is>
          <t>쿠폰</t>
        </is>
      </c>
      <c r="C25" s="6" t="inlineStr">
        <is>
          <t>최소 주문 경계</t>
        </is>
      </c>
      <c r="D25" s="6" t="inlineStr">
        <is>
          <t>REQ-07, REQ-15</t>
        </is>
      </c>
      <c r="E25" s="6" t="inlineStr">
        <is>
          <t>요구사항</t>
        </is>
      </c>
      <c r="F25" s="6" t="inlineStr">
        <is>
          <t>비결제</t>
        </is>
      </c>
      <c r="G25" s="6" t="inlineStr">
        <is>
          <t>API</t>
        </is>
      </c>
      <c r="H25" s="6" t="inlineStr">
        <is>
          <t>P1</t>
        </is>
      </c>
      <c r="I25" s="12" t="inlineStr">
        <is>
          <t>최소 주문 금액 조건(예: 3만 원 이상)이 있는 쿠폰 C2 보유</t>
        </is>
      </c>
      <c r="J25" s="12" t="inlineStr">
        <is>
          <t>1. 상품 금액이 조건 − 10원인 구성으로 쿠폰 적용 시도
2. 조건과 동일한 금액으로 적용
3. 조건 + 10원으로 적용</t>
        </is>
      </c>
      <c r="K25" s="12" t="inlineStr">
        <is>
          <t>쿠폰 C2, 금액 29,990 / 30,000 / 30,010</t>
        </is>
      </c>
      <c r="L25" s="12" t="inlineStr">
        <is>
          <t>1. 적용되지 않고 조건 미달 안내가 표시된다
2~3. 적용된다(경계 포함 여부 기록)</t>
        </is>
      </c>
      <c r="M25" s="6" t="inlineStr"/>
      <c r="N25" s="13" t="n"/>
      <c r="O25" s="14" t="n"/>
      <c r="P25" s="13" t="n"/>
      <c r="Q25" s="13" t="n"/>
      <c r="R25" s="13" t="n"/>
      <c r="S25" s="13" t="n"/>
      <c r="T25" s="12" t="n"/>
    </row>
    <row r="26" ht="64" customHeight="1">
      <c r="A26" s="6" t="inlineStr">
        <is>
          <t>TC-CPN-004</t>
        </is>
      </c>
      <c r="B26" s="6" t="inlineStr">
        <is>
          <t>쿠폰</t>
        </is>
      </c>
      <c r="C26" s="6" t="inlineStr">
        <is>
          <t>최대 할인 경계</t>
        </is>
      </c>
      <c r="D26" s="6" t="inlineStr">
        <is>
          <t>REQ-07</t>
        </is>
      </c>
      <c r="E26" s="6" t="inlineStr">
        <is>
          <t>요구사항</t>
        </is>
      </c>
      <c r="F26" s="6" t="inlineStr">
        <is>
          <t>비결제</t>
        </is>
      </c>
      <c r="G26" s="6" t="inlineStr">
        <is>
          <t>API</t>
        </is>
      </c>
      <c r="H26" s="6" t="inlineStr">
        <is>
          <t>P2</t>
        </is>
      </c>
      <c r="I26" s="12" t="inlineStr">
        <is>
          <t>최대 할인 한도(예: 1만 원)가 있는 정률 쿠폰 C3</t>
        </is>
      </c>
      <c r="J26" s="12" t="inlineStr">
        <is>
          <t>1. 정률 할인이 한도를 초과하는 고가 상품에 적용
2. 한도와 정확히 같은 금액의 상품에 적용</t>
        </is>
      </c>
      <c r="K26" s="12" t="inlineStr">
        <is>
          <t>쿠폰 C3(20%, 최대 1만 원), 상품 6만 원 / 5만 원</t>
        </is>
      </c>
      <c r="L26" s="12" t="inlineStr">
        <is>
          <t>1. 할인 금액이 한도 1만 원으로 고정된다
2. 할인 금액이 1만 원이다</t>
        </is>
      </c>
      <c r="M26" s="6" t="inlineStr"/>
      <c r="N26" s="13" t="n"/>
      <c r="O26" s="14" t="n"/>
      <c r="P26" s="13" t="n"/>
      <c r="Q26" s="13" t="n"/>
      <c r="R26" s="13" t="n"/>
      <c r="S26" s="13" t="n"/>
      <c r="T26" s="12" t="n"/>
    </row>
    <row r="27" ht="49" customHeight="1">
      <c r="A27" s="6" t="inlineStr">
        <is>
          <t>TC-CPN-005</t>
        </is>
      </c>
      <c r="B27" s="6" t="inlineStr">
        <is>
          <t>쿠폰</t>
        </is>
      </c>
      <c r="C27" s="6" t="inlineStr">
        <is>
          <t>중복</t>
        </is>
      </c>
      <c r="D27" s="6" t="inlineStr">
        <is>
          <t>REQ-07</t>
        </is>
      </c>
      <c r="E27" s="6" t="inlineStr">
        <is>
          <t>리스크 기반</t>
        </is>
      </c>
      <c r="F27" s="6" t="inlineStr">
        <is>
          <t>비결제</t>
        </is>
      </c>
      <c r="G27" s="6" t="inlineStr">
        <is>
          <t>API</t>
        </is>
      </c>
      <c r="H27" s="6" t="inlineStr">
        <is>
          <t>P2</t>
        </is>
      </c>
      <c r="I27" s="12" t="inlineStr">
        <is>
          <t>같은 상품에 적용 가능한 등급 쿠폰 C1과 브랜드 쿠폰 C4 보유</t>
        </is>
      </c>
      <c r="J27" s="12" t="inlineStr">
        <is>
          <t>1. P1에 C1 적용 후 C4 추가 적용 시도</t>
        </is>
      </c>
      <c r="K27" s="12" t="inlineStr">
        <is>
          <t>쿠폰 C1, C4</t>
        </is>
      </c>
      <c r="L27" s="12" t="inlineStr">
        <is>
          <t>Q04 회신 후 확정. 중복 불가면 교체·거부 안내가 표시되고, 중복 가능하면 두 할인이 모두 반영되며 합산이 정확하다</t>
        </is>
      </c>
      <c r="M27" s="6" t="inlineStr">
        <is>
          <t>Q04</t>
        </is>
      </c>
      <c r="N27" s="13" t="n"/>
      <c r="O27" s="14" t="n"/>
      <c r="P27" s="13" t="n"/>
      <c r="Q27" s="13" t="n"/>
      <c r="R27" s="13" t="n"/>
      <c r="S27" s="13" t="n"/>
      <c r="T27" s="12" t="n"/>
    </row>
    <row r="28" ht="79" customHeight="1">
      <c r="A28" s="6" t="inlineStr">
        <is>
          <t>TC-CPN-006</t>
        </is>
      </c>
      <c r="B28" s="6" t="inlineStr">
        <is>
          <t>쿠폰</t>
        </is>
      </c>
      <c r="C28" s="6" t="inlineStr">
        <is>
          <t>적립금 병행</t>
        </is>
      </c>
      <c r="D28" s="6" t="inlineStr">
        <is>
          <t>REQ-04, REQ-07</t>
        </is>
      </c>
      <c r="E28" s="6" t="inlineStr">
        <is>
          <t>요구사항</t>
        </is>
      </c>
      <c r="F28" s="6" t="inlineStr">
        <is>
          <t>비결제</t>
        </is>
      </c>
      <c r="G28" s="6" t="inlineStr">
        <is>
          <t>API</t>
        </is>
      </c>
      <c r="H28" s="6" t="inlineStr">
        <is>
          <t>P1</t>
        </is>
      </c>
      <c r="I28" s="12" t="inlineStr">
        <is>
          <t>쿠폰 C1, 적립금 5,000원 이상 보유</t>
        </is>
      </c>
      <c r="J28" s="12" t="inlineStr">
        <is>
          <t>1. 쿠폰 적용 전 적립금 최대 사용 가능 금액 기록
2. 쿠폰 적용 후 최대 사용 가능 금액 기록
3. 적립금 최대 적용</t>
        </is>
      </c>
      <c r="K28" s="12" t="inlineStr">
        <is>
          <t>쿠폰 C1, 적립금</t>
        </is>
      </c>
      <c r="L28" s="12" t="inlineStr">
        <is>
          <t>1~2. 7% 한도의 기준 금액이 쿠폰 적용 전/후 중 무엇인지 기록한다(Q03)
3. 쿠폰 할인과 적립금이 모두 반영되고 최종 금액이 계산식과 일치한다</t>
        </is>
      </c>
      <c r="M28" s="6" t="inlineStr">
        <is>
          <t>Q03, Q04</t>
        </is>
      </c>
      <c r="N28" s="13" t="n"/>
      <c r="O28" s="14" t="n"/>
      <c r="P28" s="13" t="n"/>
      <c r="Q28" s="13" t="n"/>
      <c r="R28" s="13" t="n"/>
      <c r="S28" s="13" t="n"/>
      <c r="T28" s="12" t="n"/>
    </row>
    <row r="29" ht="64" customHeight="1">
      <c r="A29" s="6" t="inlineStr">
        <is>
          <t>TC-CPN-007</t>
        </is>
      </c>
      <c r="B29" s="6" t="inlineStr">
        <is>
          <t>쿠폰</t>
        </is>
      </c>
      <c r="C29" s="6" t="inlineStr">
        <is>
          <t>이동 적용</t>
        </is>
      </c>
      <c r="D29" s="6" t="inlineStr">
        <is>
          <t>REQ-07</t>
        </is>
      </c>
      <c r="E29" s="6" t="inlineStr">
        <is>
          <t>요구사항</t>
        </is>
      </c>
      <c r="F29" s="6" t="inlineStr">
        <is>
          <t>비결제</t>
        </is>
      </c>
      <c r="G29" s="6" t="inlineStr">
        <is>
          <t>API</t>
        </is>
      </c>
      <c r="H29" s="6" t="inlineStr">
        <is>
          <t>P3</t>
        </is>
      </c>
      <c r="I29" s="12" t="inlineStr">
        <is>
          <t>쿠폰 적용 가능 상품 P1, P2가 주문서에 있음, 쿠폰 C1 1장</t>
        </is>
      </c>
      <c r="J29" s="12" t="inlineStr">
        <is>
          <t>1. P1에 C1 적용
2. P2에 C1 적용 시도</t>
        </is>
      </c>
      <c r="K29" s="12" t="inlineStr">
        <is>
          <t>쿠폰 C1</t>
        </is>
      </c>
      <c r="L29" s="12" t="inlineStr">
        <is>
          <t>1. P1에 할인 적용
2. C1이 P2로 이동 적용되고 P1 할인이 해제된다(또는 1장 제한 안내), 합계가 재계산된다</t>
        </is>
      </c>
      <c r="M29" s="6" t="inlineStr"/>
      <c r="N29" s="13" t="n"/>
      <c r="O29" s="14" t="n"/>
      <c r="P29" s="13" t="n"/>
      <c r="Q29" s="13" t="n"/>
      <c r="R29" s="13" t="n"/>
      <c r="S29" s="13" t="n"/>
      <c r="T29" s="12" t="n"/>
    </row>
    <row r="30" ht="49" customHeight="1">
      <c r="A30" s="6" t="inlineStr">
        <is>
          <t>TC-CPN-008</t>
        </is>
      </c>
      <c r="B30" s="6" t="inlineStr">
        <is>
          <t>쿠폰</t>
        </is>
      </c>
      <c r="C30" s="6" t="inlineStr">
        <is>
          <t>만료 경계</t>
        </is>
      </c>
      <c r="D30" s="6" t="inlineStr">
        <is>
          <t>REQ-07</t>
        </is>
      </c>
      <c r="E30" s="6" t="inlineStr">
        <is>
          <t>리스크 기반</t>
        </is>
      </c>
      <c r="F30" s="6" t="inlineStr">
        <is>
          <t>비결제</t>
        </is>
      </c>
      <c r="G30" s="6" t="inlineStr">
        <is>
          <t>API</t>
        </is>
      </c>
      <c r="H30" s="6" t="inlineStr">
        <is>
          <t>P2</t>
        </is>
      </c>
      <c r="I30" s="12" t="inlineStr">
        <is>
          <t>당일 23:59 만료 쿠폰 C5 보유, 23:55에 주문서 진입 후 C5 적용</t>
        </is>
      </c>
      <c r="J30" s="12" t="inlineStr">
        <is>
          <t>1. 00:01까지 주문서 유지
2. [결제하기] 탭(PG 진입 전 단계에서 중단)</t>
        </is>
      </c>
      <c r="K30" s="12" t="inlineStr">
        <is>
          <t>쿠폰 C5</t>
        </is>
      </c>
      <c r="L30" s="12" t="inlineStr">
        <is>
          <t>1. 만료 쿠폰이 적용된 채 결제가 진행되지 않고 재확인 안내가 표시된다
2. 금액이 쿠폰 미적용으로 재계산된다</t>
        </is>
      </c>
      <c r="M30" s="6" t="inlineStr">
        <is>
          <t>Q10</t>
        </is>
      </c>
      <c r="N30" s="13" t="n"/>
      <c r="O30" s="14" t="n"/>
      <c r="P30" s="13" t="n"/>
      <c r="Q30" s="13" t="n"/>
      <c r="R30" s="13" t="n"/>
      <c r="S30" s="13" t="n"/>
      <c r="T30" s="12" t="n"/>
    </row>
    <row r="31" ht="64" customHeight="1">
      <c r="A31" s="6" t="inlineStr">
        <is>
          <t>TC-CPN-009</t>
        </is>
      </c>
      <c r="B31" s="6" t="inlineStr">
        <is>
          <t>쿠폰</t>
        </is>
      </c>
      <c r="C31" s="6" t="inlineStr">
        <is>
          <t>동시 사용</t>
        </is>
      </c>
      <c r="D31" s="6" t="inlineStr">
        <is>
          <t>REQ-07</t>
        </is>
      </c>
      <c r="E31" s="6" t="inlineStr">
        <is>
          <t>리스크 기반</t>
        </is>
      </c>
      <c r="F31" s="6" t="inlineStr">
        <is>
          <t>실결제</t>
        </is>
      </c>
      <c r="G31" s="6" t="inlineStr">
        <is>
          <t>API</t>
        </is>
      </c>
      <c r="H31" s="6" t="inlineStr">
        <is>
          <t>P2</t>
        </is>
      </c>
      <c r="I31" s="12" t="inlineStr">
        <is>
          <t>앱과 웹에서 같은 계정으로 각각 주문서에 쿠폰 C1 적용</t>
        </is>
      </c>
      <c r="J31" s="12" t="inlineStr">
        <is>
          <t>1. 웹에서 C1으로 소액 결제 완료
2. 앱 주문서에서 [결제하기]</t>
        </is>
      </c>
      <c r="K31" s="12" t="inlineStr">
        <is>
          <t>쿠폰 C1, 소액 상품</t>
        </is>
      </c>
      <c r="L31" s="12" t="inlineStr">
        <is>
          <t>1. 앱에서 이미 사용된 쿠폰으로 결제되지 않고 안내가 표시된다
2. 이중 할인 주문이 생성되지 않는다
※ 결제된 웹 주문은 즉시 취소</t>
        </is>
      </c>
      <c r="M31" s="6" t="inlineStr">
        <is>
          <t>Q06</t>
        </is>
      </c>
      <c r="N31" s="13" t="n"/>
      <c r="O31" s="14" t="n"/>
      <c r="P31" s="13" t="n"/>
      <c r="Q31" s="13" t="n"/>
      <c r="R31" s="13" t="n"/>
      <c r="S31" s="13" t="n"/>
      <c r="T31" s="12" t="n"/>
    </row>
    <row r="32" ht="64" customHeight="1">
      <c r="A32" s="6" t="inlineStr">
        <is>
          <t>TC-CPN-010</t>
        </is>
      </c>
      <c r="B32" s="6" t="inlineStr">
        <is>
          <t>쿠폰</t>
        </is>
      </c>
      <c r="C32" s="6" t="inlineStr">
        <is>
          <t>가입 쿠폰</t>
        </is>
      </c>
      <c r="D32" s="6" t="inlineStr">
        <is>
          <t>REQ-15</t>
        </is>
      </c>
      <c r="E32" s="6" t="inlineStr">
        <is>
          <t>요구사항</t>
        </is>
      </c>
      <c r="F32" s="6" t="inlineStr">
        <is>
          <t>비결제</t>
        </is>
      </c>
      <c r="G32" s="6" t="inlineStr">
        <is>
          <t>API</t>
        </is>
      </c>
      <c r="H32" s="6" t="inlineStr">
        <is>
          <t>P2</t>
        </is>
      </c>
      <c r="I32" s="12" t="inlineStr">
        <is>
          <t>신규 가입 계정(가입 쿠폰 20% 보유)</t>
        </is>
      </c>
      <c r="J32" s="12" t="inlineStr">
        <is>
          <t>1. 쿠폰함에서 유효기간 확인
2. 9,990원 상품에 적용 시도
3. 10,000원 상품에 적용</t>
        </is>
      </c>
      <c r="K32" s="12" t="inlineStr">
        <is>
          <t>가입 쿠폰, 상품 9,990 / 10,000원</t>
        </is>
      </c>
      <c r="L32" s="12" t="inlineStr">
        <is>
          <t>1. 유효기간이 발급일 + 30일로 표시된다
2. 적용되지 않고 조건 안내가 표시된다(1만 원 이상 조건이 쿠폰 조건인지 기록)
3. 20% 할인이 적용된다</t>
        </is>
      </c>
      <c r="M32" s="6" t="inlineStr"/>
      <c r="N32" s="13" t="n"/>
      <c r="O32" s="14" t="n"/>
      <c r="P32" s="13" t="n"/>
      <c r="Q32" s="13" t="n"/>
      <c r="R32" s="13" t="n"/>
      <c r="S32" s="13" t="n"/>
      <c r="T32" s="12" t="n"/>
    </row>
    <row r="33" ht="79" customHeight="1">
      <c r="A33" s="6" t="inlineStr">
        <is>
          <t>TC-PNT-001</t>
        </is>
      </c>
      <c r="B33" s="6" t="inlineStr">
        <is>
          <t>적립금</t>
        </is>
      </c>
      <c r="C33" s="6" t="inlineStr">
        <is>
          <t>보유 경계</t>
        </is>
      </c>
      <c r="D33" s="6" t="inlineStr">
        <is>
          <t>REQ-03</t>
        </is>
      </c>
      <c r="E33" s="6" t="inlineStr">
        <is>
          <t>요구사항</t>
        </is>
      </c>
      <c r="F33" s="6" t="inlineStr">
        <is>
          <t>비결제</t>
        </is>
      </c>
      <c r="G33" s="6" t="inlineStr">
        <is>
          <t>API</t>
        </is>
      </c>
      <c r="H33" s="6" t="inlineStr">
        <is>
          <t>P1</t>
        </is>
      </c>
      <c r="I33" s="12" t="inlineStr">
        <is>
          <t>적립금 보유 4,990원 계정(M2). 보유액 조정이 어려우면 메인 계정에서 적립금 일부를 사용한 주문을 결제완료 상태로 둔 뒤(잔액 &lt;5,000) 수행하고 취소</t>
        </is>
      </c>
      <c r="J33" s="12" t="inlineStr">
        <is>
          <t>1. 마이 &gt; 적립금 잔액 확인
2. 주문서에서 적립금 사용 영역 확인
3. 금액 입력 시도</t>
        </is>
      </c>
      <c r="K33" s="12" t="inlineStr">
        <is>
          <t>보유 4,990원</t>
        </is>
      </c>
      <c r="L33" s="12" t="inlineStr">
        <is>
          <t>1. 입력이 비활성이고 '5,000원 이상 보유 시 사용 가능' 취지의 안내가 표시된다</t>
        </is>
      </c>
      <c r="M33" s="6" t="inlineStr"/>
      <c r="N33" s="13" t="n"/>
      <c r="O33" s="14" t="n"/>
      <c r="P33" s="13" t="n"/>
      <c r="Q33" s="13" t="n"/>
      <c r="R33" s="13" t="n"/>
      <c r="S33" s="13" t="n"/>
      <c r="T33" s="12" t="n"/>
    </row>
    <row r="34" ht="64" customHeight="1">
      <c r="A34" s="6" t="inlineStr">
        <is>
          <t>TC-PNT-002</t>
        </is>
      </c>
      <c r="B34" s="6" t="inlineStr">
        <is>
          <t>적립금</t>
        </is>
      </c>
      <c r="C34" s="6" t="inlineStr">
        <is>
          <t>보유 경계</t>
        </is>
      </c>
      <c r="D34" s="6" t="inlineStr">
        <is>
          <t>REQ-03</t>
        </is>
      </c>
      <c r="E34" s="6" t="inlineStr">
        <is>
          <t>요구사항</t>
        </is>
      </c>
      <c r="F34" s="6" t="inlineStr">
        <is>
          <t>비결제</t>
        </is>
      </c>
      <c r="G34" s="6" t="inlineStr">
        <is>
          <t>API</t>
        </is>
      </c>
      <c r="H34" s="6" t="inlineStr">
        <is>
          <t>P1</t>
        </is>
      </c>
      <c r="I34" s="12" t="inlineStr">
        <is>
          <t>적립금 보유 정확히 5,000원 계정(경계), 상품 금액 100,000원 주문서(7% 한도 7,000원 &gt; 보유)</t>
        </is>
      </c>
      <c r="J34" s="12" t="inlineStr">
        <is>
          <t>1. 적립금 10원 입력
2. 5,000원 전액 입력</t>
        </is>
      </c>
      <c r="K34" s="12" t="inlineStr">
        <is>
          <t>보유 5,000원</t>
        </is>
      </c>
      <c r="L34" s="12" t="inlineStr">
        <is>
          <t>1. 10원이 적용된다
2. 5,000원 전액이 적용된다(보유 경계 포함)</t>
        </is>
      </c>
      <c r="M34" s="6" t="inlineStr"/>
      <c r="N34" s="13" t="n"/>
      <c r="O34" s="14" t="n"/>
      <c r="P34" s="13" t="n"/>
      <c r="Q34" s="13" t="n"/>
      <c r="R34" s="13" t="n"/>
      <c r="S34" s="13" t="n"/>
      <c r="T34" s="12" t="n"/>
    </row>
    <row r="35" ht="79" customHeight="1">
      <c r="A35" s="6" t="inlineStr">
        <is>
          <t>TC-PNT-003</t>
        </is>
      </c>
      <c r="B35" s="6" t="inlineStr">
        <is>
          <t>적립금</t>
        </is>
      </c>
      <c r="C35" s="6" t="inlineStr">
        <is>
          <t>7% 경계</t>
        </is>
      </c>
      <c r="D35" s="6" t="inlineStr">
        <is>
          <t>REQ-04</t>
        </is>
      </c>
      <c r="E35" s="6" t="inlineStr">
        <is>
          <t>요구사항</t>
        </is>
      </c>
      <c r="F35" s="6" t="inlineStr">
        <is>
          <t>비결제</t>
        </is>
      </c>
      <c r="G35" s="6" t="inlineStr">
        <is>
          <t>API</t>
        </is>
      </c>
      <c r="H35" s="6" t="inlineStr">
        <is>
          <t>P1</t>
        </is>
      </c>
      <c r="I35" s="12" t="inlineStr">
        <is>
          <t>상품 금액 정확히 100,000원(쿠폰 미적용) 구성, 적립금 1만 원 이상 보유(7% 한도 7,000원 &lt; 보유)</t>
        </is>
      </c>
      <c r="J35" s="12" t="inlineStr">
        <is>
          <t>1. 7,000원 입력
2. 7,010원 입력
3. 6,990원 입력</t>
        </is>
      </c>
      <c r="K35" s="12" t="inlineStr">
        <is>
          <t>7,000 / 7,010 / 6,990</t>
        </is>
      </c>
      <c r="L35" s="12" t="inlineStr">
        <is>
          <t>1. 적용된다
2. 7,000원으로 자동 보정되거나 한도 초과 안내가 표시된다(보유액 이내이므로 한도만 작용)
3. 적용된다</t>
        </is>
      </c>
      <c r="M35" s="6" t="inlineStr">
        <is>
          <t>Q03, Q07</t>
        </is>
      </c>
      <c r="N35" s="13" t="n"/>
      <c r="O35" s="14" t="n"/>
      <c r="P35" s="13" t="n"/>
      <c r="Q35" s="13" t="n"/>
      <c r="R35" s="13" t="n"/>
      <c r="S35" s="13" t="n"/>
      <c r="T35" s="12" t="n"/>
    </row>
    <row r="36" ht="64" customHeight="1">
      <c r="A36" s="6" t="inlineStr">
        <is>
          <t>TC-PNT-004</t>
        </is>
      </c>
      <c r="B36" s="6" t="inlineStr">
        <is>
          <t>적립금</t>
        </is>
      </c>
      <c r="C36" s="6" t="inlineStr">
        <is>
          <t>10원 단위</t>
        </is>
      </c>
      <c r="D36" s="6" t="inlineStr">
        <is>
          <t>REQ-04</t>
        </is>
      </c>
      <c r="E36" s="6" t="inlineStr">
        <is>
          <t>요구사항</t>
        </is>
      </c>
      <c r="F36" s="6" t="inlineStr">
        <is>
          <t>비결제</t>
        </is>
      </c>
      <c r="G36" s="6" t="inlineStr">
        <is>
          <t>API</t>
        </is>
      </c>
      <c r="H36" s="6" t="inlineStr">
        <is>
          <t>P1</t>
        </is>
      </c>
      <c r="I36" s="12" t="inlineStr">
        <is>
          <t>적립금 5,000원 이상 보유</t>
        </is>
      </c>
      <c r="J36" s="12" t="inlineStr">
        <is>
          <t>1. 1,005원 입력
2. 1,001원 입력
3. 1,000원 입력</t>
        </is>
      </c>
      <c r="K36" s="12" t="inlineStr">
        <is>
          <t>1,005 / 1,001 / 1,000</t>
        </is>
      </c>
      <c r="L36" s="12" t="inlineStr">
        <is>
          <t>1~2. 10원 단위로 절사되거나 단위 안내와 함께 거부된다(절사/거부 중 현재 동작 기록)
3. 적용된다</t>
        </is>
      </c>
      <c r="M36" s="6" t="inlineStr">
        <is>
          <t>Q03</t>
        </is>
      </c>
      <c r="N36" s="13" t="n"/>
      <c r="O36" s="14" t="n"/>
      <c r="P36" s="13" t="n"/>
      <c r="Q36" s="13" t="n"/>
      <c r="R36" s="13" t="n"/>
      <c r="S36" s="13" t="n"/>
      <c r="T36" s="12" t="n"/>
    </row>
    <row r="37" ht="94" customHeight="1">
      <c r="A37" s="6" t="inlineStr">
        <is>
          <t>TC-PNT-005</t>
        </is>
      </c>
      <c r="B37" s="6" t="inlineStr">
        <is>
          <t>적립금</t>
        </is>
      </c>
      <c r="C37" s="6" t="inlineStr">
        <is>
          <t>전액 사용</t>
        </is>
      </c>
      <c r="D37" s="6" t="inlineStr">
        <is>
          <t>REQ-04</t>
        </is>
      </c>
      <c r="E37" s="6" t="inlineStr">
        <is>
          <t>요구사항</t>
        </is>
      </c>
      <c r="F37" s="6" t="inlineStr">
        <is>
          <t>비결제</t>
        </is>
      </c>
      <c r="G37" s="6" t="inlineStr">
        <is>
          <t>API</t>
        </is>
      </c>
      <c r="H37" s="6" t="inlineStr">
        <is>
          <t>P2</t>
        </is>
      </c>
      <c r="I37" s="12" t="inlineStr">
        <is>
          <t>적립금 보유 5,614원(10원 단위가 아닌 잔액)</t>
        </is>
      </c>
      <c r="J37" s="12" t="inlineStr">
        <is>
          <t>1. 상품 금액 100,000원 주문서에서 [전액 사용] 탭(7% 한도 7,000원 &gt; 보유)
2. 상품 금액 50,000원 주문서에서 [전액 사용] 탭(7% 한도 3,500원 &lt; 보유)</t>
        </is>
      </c>
      <c r="K37" s="12" t="inlineStr">
        <is>
          <t>보유 5,614원, 상품 100,000 / 50,000원</t>
        </is>
      </c>
      <c r="L37" s="12" t="inlineStr">
        <is>
          <t>1. 보유액을 10원 단위로 절사한 5,610원이 적용된다(5,614원 그대로 적용되면 REQ-04 위반)
2. 한도 3,500원이 적용된다</t>
        </is>
      </c>
      <c r="M37" s="6" t="inlineStr">
        <is>
          <t>Q03</t>
        </is>
      </c>
      <c r="N37" s="13" t="n"/>
      <c r="O37" s="14" t="n"/>
      <c r="P37" s="13" t="n"/>
      <c r="Q37" s="13" t="n"/>
      <c r="R37" s="13" t="n"/>
      <c r="S37" s="13" t="n"/>
      <c r="T37" s="12" t="n"/>
    </row>
    <row r="38" ht="49" customHeight="1">
      <c r="A38" s="6" t="inlineStr">
        <is>
          <t>TC-PNT-006</t>
        </is>
      </c>
      <c r="B38" s="6" t="inlineStr">
        <is>
          <t>적립금</t>
        </is>
      </c>
      <c r="C38" s="6" t="inlineStr">
        <is>
          <t>사용 불가 상품</t>
        </is>
      </c>
      <c r="D38" s="6" t="inlineStr">
        <is>
          <t>REQ-05</t>
        </is>
      </c>
      <c r="E38" s="6" t="inlineStr">
        <is>
          <t>요구사항</t>
        </is>
      </c>
      <c r="F38" s="6" t="inlineStr">
        <is>
          <t>비결제</t>
        </is>
      </c>
      <c r="G38" s="6" t="inlineStr">
        <is>
          <t>API</t>
        </is>
      </c>
      <c r="H38" s="6" t="inlineStr">
        <is>
          <t>P1</t>
        </is>
      </c>
      <c r="I38" s="12" t="inlineStr">
        <is>
          <t>적립금 사용 불가 상품 P6 단독 주문서</t>
        </is>
      </c>
      <c r="J38" s="12" t="inlineStr">
        <is>
          <t>1. 적립금 영역 확인</t>
        </is>
      </c>
      <c r="K38" s="12" t="inlineStr">
        <is>
          <t>상품 P6</t>
        </is>
      </c>
      <c r="L38" s="12" t="inlineStr">
        <is>
          <t>1. 입력이 비활성이고 사용 불가 안내가 표시된다
2. [전액 사용]이 동작하지 않는다</t>
        </is>
      </c>
      <c r="M38" s="6" t="inlineStr"/>
      <c r="N38" s="13" t="n"/>
      <c r="O38" s="14" t="n"/>
      <c r="P38" s="13" t="n"/>
      <c r="Q38" s="13" t="n"/>
      <c r="R38" s="13" t="n"/>
      <c r="S38" s="13" t="n"/>
      <c r="T38" s="12" t="n"/>
    </row>
    <row r="39" ht="49" customHeight="1">
      <c r="A39" s="6" t="inlineStr">
        <is>
          <t>TC-PNT-007</t>
        </is>
      </c>
      <c r="B39" s="6" t="inlineStr">
        <is>
          <t>적립금</t>
        </is>
      </c>
      <c r="C39" s="6" t="inlineStr">
        <is>
          <t>제휴 경유</t>
        </is>
      </c>
      <c r="D39" s="6" t="inlineStr">
        <is>
          <t>REQ-05</t>
        </is>
      </c>
      <c r="E39" s="6" t="inlineStr">
        <is>
          <t>추가 검증</t>
        </is>
      </c>
      <c r="F39" s="6" t="inlineStr">
        <is>
          <t>비결제</t>
        </is>
      </c>
      <c r="G39" s="6" t="inlineStr">
        <is>
          <t>수동</t>
        </is>
      </c>
      <c r="H39" s="6" t="inlineStr">
        <is>
          <t>P3</t>
        </is>
      </c>
      <c r="I39" s="12" t="inlineStr">
        <is>
          <t>외부 광고 링크(검색 광고·제휴 블로그 링크)로 앱 상품 상세를 열어 주문서 진입</t>
        </is>
      </c>
      <c r="J39" s="12" t="inlineStr">
        <is>
          <t>1. 적립금·선할인 영역 확인
2. 앱을 종료하고 직접 실행 후 같은 상품 주문서 진입</t>
        </is>
      </c>
      <c r="K39" s="12" t="inlineStr">
        <is>
          <t>제휴 링크</t>
        </is>
      </c>
      <c r="L39" s="12" t="inlineStr">
        <is>
          <t>1. 제한 안내가 표시되거나 적립금 사용이 비활성이다(현재 동작 기록)
2. 직접 실행 시 정상 사용 가능하다</t>
        </is>
      </c>
      <c r="M39" s="6" t="inlineStr"/>
      <c r="N39" s="13" t="n"/>
      <c r="O39" s="14" t="n"/>
      <c r="P39" s="13" t="n"/>
      <c r="Q39" s="13" t="n"/>
      <c r="R39" s="13" t="n"/>
      <c r="S39" s="13" t="n"/>
      <c r="T39" s="12" t="n"/>
    </row>
    <row r="40" ht="49" customHeight="1">
      <c r="A40" s="6" t="inlineStr">
        <is>
          <t>TC-PNT-008</t>
        </is>
      </c>
      <c r="B40" s="6" t="inlineStr">
        <is>
          <t>적립금</t>
        </is>
      </c>
      <c r="C40" s="6" t="inlineStr">
        <is>
          <t>선할인 상호작용</t>
        </is>
      </c>
      <c r="D40" s="6" t="inlineStr">
        <is>
          <t>REQ-06</t>
        </is>
      </c>
      <c r="E40" s="6" t="inlineStr">
        <is>
          <t>요구사항</t>
        </is>
      </c>
      <c r="F40" s="6" t="inlineStr">
        <is>
          <t>비결제</t>
        </is>
      </c>
      <c r="G40" s="6" t="inlineStr">
        <is>
          <t>API</t>
        </is>
      </c>
      <c r="H40" s="6" t="inlineStr">
        <is>
          <t>P2</t>
        </is>
      </c>
      <c r="I40" s="12" t="inlineStr">
        <is>
          <t>선할인 가능 상품, 적립금 5,000원 이상 보유</t>
        </is>
      </c>
      <c r="J40" s="12" t="inlineStr">
        <is>
          <t>1. 적립금 1,000원 사용 후 선할인 선택
2. 선할인 선택 후 적립금 입력</t>
        </is>
      </c>
      <c r="K40" s="12" t="inlineStr">
        <is>
          <t>적립금 1,000원</t>
        </is>
      </c>
      <c r="L40" s="12" t="inlineStr">
        <is>
          <t>Q04 회신 후 확정. 병행 불가면 한쪽 선택 시 다른 쪽이 해제·비활성되고, 병행 가능하면 두 할인이 모두 반영된다</t>
        </is>
      </c>
      <c r="M40" s="6" t="inlineStr">
        <is>
          <t>Q04</t>
        </is>
      </c>
      <c r="N40" s="13" t="n"/>
      <c r="O40" s="14" t="n"/>
      <c r="P40" s="13" t="n"/>
      <c r="Q40" s="13" t="n"/>
      <c r="R40" s="13" t="n"/>
      <c r="S40" s="13" t="n"/>
      <c r="T40" s="12" t="n"/>
    </row>
    <row r="41" ht="49" customHeight="1">
      <c r="A41" s="6" t="inlineStr">
        <is>
          <t>TC-PNT-009</t>
        </is>
      </c>
      <c r="B41" s="6" t="inlineStr">
        <is>
          <t>적립금</t>
        </is>
      </c>
      <c r="C41" s="6" t="inlineStr">
        <is>
          <t>재계산</t>
        </is>
      </c>
      <c r="D41" s="6" t="inlineStr">
        <is>
          <t>REQ-04</t>
        </is>
      </c>
      <c r="E41" s="6" t="inlineStr">
        <is>
          <t>리스크 기반</t>
        </is>
      </c>
      <c r="F41" s="6" t="inlineStr">
        <is>
          <t>비결제</t>
        </is>
      </c>
      <c r="G41" s="6" t="inlineStr">
        <is>
          <t>API</t>
        </is>
      </c>
      <c r="H41" s="6" t="inlineStr">
        <is>
          <t>P2</t>
        </is>
      </c>
      <c r="I41" s="12" t="inlineStr">
        <is>
          <t>적립금 최대(7%) 적용 상태</t>
        </is>
      </c>
      <c r="J41" s="12" t="inlineStr">
        <is>
          <t>1. 쿠폰 C1 추가 적용
2. 상품 1개 삭제(가능 시) 또는 뒤로가기 후 장바구니에서 상품 제거 후 재진입</t>
        </is>
      </c>
      <c r="K41" s="12" t="inlineStr">
        <is>
          <t>쿠폰 C1</t>
        </is>
      </c>
      <c r="L41" s="12" t="inlineStr">
        <is>
          <t>1~2. 적립금 적용액이 새 7% 한도로 자동 보정되고 최종 금액이 계산식과 일치한다(한도 초과 상태로 결제 진행되지 않는다)</t>
        </is>
      </c>
      <c r="M41" s="6" t="inlineStr">
        <is>
          <t>Q03</t>
        </is>
      </c>
      <c r="N41" s="13" t="n"/>
      <c r="O41" s="14" t="n"/>
      <c r="P41" s="13" t="n"/>
      <c r="Q41" s="13" t="n"/>
      <c r="R41" s="13" t="n"/>
      <c r="S41" s="13" t="n"/>
      <c r="T41" s="12" t="n"/>
    </row>
    <row r="42" ht="49" customHeight="1">
      <c r="A42" s="6" t="inlineStr">
        <is>
          <t>TC-PNT-010</t>
        </is>
      </c>
      <c r="B42" s="6" t="inlineStr">
        <is>
          <t>적립금</t>
        </is>
      </c>
      <c r="C42" s="6" t="inlineStr">
        <is>
          <t>가입 적립금</t>
        </is>
      </c>
      <c r="D42" s="6" t="inlineStr">
        <is>
          <t>REQ-15</t>
        </is>
      </c>
      <c r="E42" s="6" t="inlineStr">
        <is>
          <t>요구사항</t>
        </is>
      </c>
      <c r="F42" s="6" t="inlineStr">
        <is>
          <t>비결제</t>
        </is>
      </c>
      <c r="G42" s="6" t="inlineStr">
        <is>
          <t>API</t>
        </is>
      </c>
      <c r="H42" s="6" t="inlineStr">
        <is>
          <t>P3</t>
        </is>
      </c>
      <c r="I42" s="12" t="inlineStr">
        <is>
          <t>신규 가입 계정(가입 적립금 5,000원), 가입 후 23시간 50분 경과</t>
        </is>
      </c>
      <c r="J42" s="12" t="inlineStr">
        <is>
          <t>1. 주문서에서 적립금 5,000원 적용
2. 24시간 경과 후 [결제하기](PG 진입 전 중단)</t>
        </is>
      </c>
      <c r="K42" s="12" t="inlineStr">
        <is>
          <t>가입 적립금</t>
        </is>
      </c>
      <c r="L42" s="12" t="inlineStr">
        <is>
          <t>1. 적용된다
2. 만료된 적립금으로 결제가 진행되지 않고 재계산된다</t>
        </is>
      </c>
      <c r="M42" s="6" t="inlineStr">
        <is>
          <t>Q10</t>
        </is>
      </c>
      <c r="N42" s="13" t="n"/>
      <c r="O42" s="14" t="n"/>
      <c r="P42" s="13" t="n"/>
      <c r="Q42" s="13" t="n"/>
      <c r="R42" s="13" t="n"/>
      <c r="S42" s="13" t="n"/>
      <c r="T42" s="12" t="n"/>
    </row>
    <row r="43" ht="79" customHeight="1">
      <c r="A43" s="6" t="inlineStr">
        <is>
          <t>TC-SHP-001</t>
        </is>
      </c>
      <c r="B43" s="6" t="inlineStr">
        <is>
          <t>배송지·배송비</t>
        </is>
      </c>
      <c r="C43" s="6" t="inlineStr">
        <is>
          <t>배송지 선택</t>
        </is>
      </c>
      <c r="D43" s="6" t="inlineStr"/>
      <c r="E43" s="6" t="inlineStr">
        <is>
          <t>추가 검증</t>
        </is>
      </c>
      <c r="F43" s="6" t="inlineStr">
        <is>
          <t>비결제</t>
        </is>
      </c>
      <c r="G43" s="6" t="inlineStr">
        <is>
          <t>UI</t>
        </is>
      </c>
      <c r="H43" s="6" t="inlineStr">
        <is>
          <t>P2</t>
        </is>
      </c>
      <c r="I43" s="12" t="inlineStr">
        <is>
          <t>배송지 2개 등록, 1개 기본 배송지</t>
        </is>
      </c>
      <c r="J43" s="12" t="inlineStr">
        <is>
          <t>1. 주문서 진입
2. 배송지 변경에서 두 번째 배송지 선택
3. 뒤로가기 후 재진입</t>
        </is>
      </c>
      <c r="K43" s="12" t="inlineStr">
        <is>
          <t>배송지 A(기본), B</t>
        </is>
      </c>
      <c r="L43" s="12" t="inlineStr">
        <is>
          <t>1. 기본 배송지 A가 자동 선택된다
2. B로 변경되고 배송비·도착 예정일이 재계산된다
3. 재진입 시 선택 배송지가 기본값(A)인지 마지막 선택(B)인지 기록</t>
        </is>
      </c>
      <c r="M43" s="6" t="inlineStr"/>
      <c r="N43" s="13" t="n"/>
      <c r="O43" s="14" t="n"/>
      <c r="P43" s="13" t="n"/>
      <c r="Q43" s="13" t="n"/>
      <c r="R43" s="13" t="n"/>
      <c r="S43" s="13" t="n"/>
      <c r="T43" s="12" t="n"/>
    </row>
    <row r="44" ht="79" customHeight="1">
      <c r="A44" s="6" t="inlineStr">
        <is>
          <t>TC-SHP-002</t>
        </is>
      </c>
      <c r="B44" s="6" t="inlineStr">
        <is>
          <t>배송지·배송비</t>
        </is>
      </c>
      <c r="C44" s="6" t="inlineStr">
        <is>
          <t>배송지 입력</t>
        </is>
      </c>
      <c r="D44" s="6" t="inlineStr"/>
      <c r="E44" s="6" t="inlineStr">
        <is>
          <t>추가 검증</t>
        </is>
      </c>
      <c r="F44" s="6" t="inlineStr">
        <is>
          <t>비결제</t>
        </is>
      </c>
      <c r="G44" s="6" t="inlineStr">
        <is>
          <t>UI</t>
        </is>
      </c>
      <c r="H44" s="6" t="inlineStr">
        <is>
          <t>P2</t>
        </is>
      </c>
      <c r="I44" s="12" t="inlineStr">
        <is>
          <t>주문서 &gt; 배송지 추가</t>
        </is>
      </c>
      <c r="J44" s="12" t="inlineStr">
        <is>
          <t>1. 우편번호 검색으로 주소 선택
2. 상세주소 공란으로 저장
3. 수령인 1자, 연락처 '010-0000-0000' 저장</t>
        </is>
      </c>
      <c r="K44" s="12" t="inlineStr">
        <is>
          <t>상세주소 공란, 수령인 '가'</t>
        </is>
      </c>
      <c r="L44" s="12" t="inlineStr">
        <is>
          <t>1. 기본 주소·우편번호가 자동 입력된다
2. 상세주소 필수면 오류 안내(선택이면 저장)
3. 형식 오류 항목에 안내가 표시된다(현재 동작 기록)</t>
        </is>
      </c>
      <c r="M44" s="6" t="inlineStr"/>
      <c r="N44" s="13" t="n"/>
      <c r="O44" s="14" t="n"/>
      <c r="P44" s="13" t="n"/>
      <c r="Q44" s="13" t="n"/>
      <c r="R44" s="13" t="n"/>
      <c r="S44" s="13" t="n"/>
      <c r="T44" s="12" t="n"/>
    </row>
    <row r="45" ht="49" customHeight="1">
      <c r="A45" s="6" t="inlineStr">
        <is>
          <t>TC-SHP-003</t>
        </is>
      </c>
      <c r="B45" s="6" t="inlineStr">
        <is>
          <t>배송지·배송비</t>
        </is>
      </c>
      <c r="C45" s="6" t="inlineStr">
        <is>
          <t>도서산간</t>
        </is>
      </c>
      <c r="D45" s="6" t="inlineStr">
        <is>
          <t>REQ-12</t>
        </is>
      </c>
      <c r="E45" s="6" t="inlineStr">
        <is>
          <t>리스크 기반</t>
        </is>
      </c>
      <c r="F45" s="6" t="inlineStr">
        <is>
          <t>비결제</t>
        </is>
      </c>
      <c r="G45" s="6" t="inlineStr">
        <is>
          <t>API</t>
        </is>
      </c>
      <c r="H45" s="6" t="inlineStr">
        <is>
          <t>P1</t>
        </is>
      </c>
      <c r="I45" s="12" t="inlineStr">
        <is>
          <t>제주 주소 배송지 등록, 유료 배송 브랜드 상품 주문서</t>
        </is>
      </c>
      <c r="J45" s="12" t="inlineStr">
        <is>
          <t>1. 배송지를 제주 주소로 변경
2. 배송비·최종 결제 금액 확인
3. 수도권 주소로 되돌림</t>
        </is>
      </c>
      <c r="K45" s="12" t="inlineStr">
        <is>
          <t>제주 주소, 상품 P5</t>
        </is>
      </c>
      <c r="L45" s="12" t="inlineStr">
        <is>
          <t>1. 도서산간 추가 배송비가 주문서에 별도 표기되고 최종 금액에 반영된다
2. 되돌리면 추가 배송비가 제거된다</t>
        </is>
      </c>
      <c r="M45" s="6" t="inlineStr">
        <is>
          <t>Q01</t>
        </is>
      </c>
      <c r="N45" s="13" t="n"/>
      <c r="O45" s="14" t="n"/>
      <c r="P45" s="13" t="n"/>
      <c r="Q45" s="13" t="n"/>
      <c r="R45" s="13" t="n"/>
      <c r="S45" s="13" t="n"/>
      <c r="T45" s="12" t="n"/>
    </row>
    <row r="46" ht="49" customHeight="1">
      <c r="A46" s="6" t="inlineStr">
        <is>
          <t>TC-SHP-004</t>
        </is>
      </c>
      <c r="B46" s="6" t="inlineStr">
        <is>
          <t>배송지·배송비</t>
        </is>
      </c>
      <c r="C46" s="6" t="inlineStr">
        <is>
          <t>브랜드별 배송비</t>
        </is>
      </c>
      <c r="D46" s="6" t="inlineStr">
        <is>
          <t>REQ-12</t>
        </is>
      </c>
      <c r="E46" s="6" t="inlineStr">
        <is>
          <t>요구사항</t>
        </is>
      </c>
      <c r="F46" s="6" t="inlineStr">
        <is>
          <t>비결제</t>
        </is>
      </c>
      <c r="G46" s="6" t="inlineStr">
        <is>
          <t>API</t>
        </is>
      </c>
      <c r="H46" s="6" t="inlineStr">
        <is>
          <t>P1</t>
        </is>
      </c>
      <c r="I46" s="12" t="inlineStr">
        <is>
          <t>유료 배송 브랜드 A 상품 1개 + 무료 배송 브랜드 B 상품 1개</t>
        </is>
      </c>
      <c r="J46" s="12" t="inlineStr">
        <is>
          <t>1. 주문서 배송비 항목 확인
2. B 상품 선택 해제 후 재진입</t>
        </is>
      </c>
      <c r="K46" s="12" t="inlineStr">
        <is>
          <t>브랜드 A(3,000원), B(무료)</t>
        </is>
      </c>
      <c r="L46" s="12" t="inlineStr">
        <is>
          <t>1. 배송비 3,000원이 표시되고 브랜드별 내역이 확인된다
2. 배송비가 변동 없이 3,000원이다</t>
        </is>
      </c>
      <c r="M46" s="6" t="inlineStr">
        <is>
          <t>Q01</t>
        </is>
      </c>
      <c r="N46" s="13" t="n"/>
      <c r="O46" s="14" t="n"/>
      <c r="P46" s="13" t="n"/>
      <c r="Q46" s="13" t="n"/>
      <c r="R46" s="13" t="n"/>
      <c r="S46" s="13" t="n"/>
      <c r="T46" s="12" t="n"/>
    </row>
    <row r="47" ht="64" customHeight="1">
      <c r="A47" s="6" t="inlineStr">
        <is>
          <t>TC-SHP-005</t>
        </is>
      </c>
      <c r="B47" s="6" t="inlineStr">
        <is>
          <t>배송지·배송비</t>
        </is>
      </c>
      <c r="C47" s="6" t="inlineStr">
        <is>
          <t>무료배송 경계</t>
        </is>
      </c>
      <c r="D47" s="6" t="inlineStr">
        <is>
          <t>REQ-12</t>
        </is>
      </c>
      <c r="E47" s="6" t="inlineStr">
        <is>
          <t>리스크 기반</t>
        </is>
      </c>
      <c r="F47" s="6" t="inlineStr">
        <is>
          <t>비결제</t>
        </is>
      </c>
      <c r="G47" s="6" t="inlineStr">
        <is>
          <t>API</t>
        </is>
      </c>
      <c r="H47" s="6" t="inlineStr">
        <is>
          <t>P1</t>
        </is>
      </c>
      <c r="I47" s="12" t="inlineStr">
        <is>
          <t>조건부 무료배송 브랜드(예: 5만 원 이상 무료) 상품 상세에서 조건 확인</t>
        </is>
      </c>
      <c r="J47" s="12" t="inlineStr">
        <is>
          <t>1. 조건 − 10원 구성으로 주문서 배송비 확인
2. 조건과 동일 금액
3. 조건 + 10원</t>
        </is>
      </c>
      <c r="K47" s="12" t="inlineStr">
        <is>
          <t>49,990 / 50,000 / 50,010</t>
        </is>
      </c>
      <c r="L47" s="12" t="inlineStr">
        <is>
          <t>1. 배송비가 부과된다
2~3. 무료배송이 적용된다(기준이 쿠폰 적용 전/후 금액인지 기록)</t>
        </is>
      </c>
      <c r="M47" s="6" t="inlineStr">
        <is>
          <t>Q01, Q07</t>
        </is>
      </c>
      <c r="N47" s="13" t="n"/>
      <c r="O47" s="14" t="n"/>
      <c r="P47" s="13" t="n"/>
      <c r="Q47" s="13" t="n"/>
      <c r="R47" s="13" t="n"/>
      <c r="S47" s="13" t="n"/>
      <c r="T47" s="12" t="n"/>
    </row>
    <row r="48" ht="49" customHeight="1">
      <c r="A48" s="6" t="inlineStr">
        <is>
          <t>TC-SHP-006</t>
        </is>
      </c>
      <c r="B48" s="6" t="inlineStr">
        <is>
          <t>배송지·배송비</t>
        </is>
      </c>
      <c r="C48" s="6" t="inlineStr">
        <is>
          <t>신규 무료배송</t>
        </is>
      </c>
      <c r="D48" s="6" t="inlineStr">
        <is>
          <t>REQ-15</t>
        </is>
      </c>
      <c r="E48" s="6" t="inlineStr">
        <is>
          <t>요구사항</t>
        </is>
      </c>
      <c r="F48" s="6" t="inlineStr">
        <is>
          <t>비결제</t>
        </is>
      </c>
      <c r="G48" s="6" t="inlineStr">
        <is>
          <t>API</t>
        </is>
      </c>
      <c r="H48" s="6" t="inlineStr">
        <is>
          <t>P3</t>
        </is>
      </c>
      <c r="I48" s="12" t="inlineStr">
        <is>
          <t>신규 가입 계정, 유료 배송 브랜드 상품</t>
        </is>
      </c>
      <c r="J48" s="12" t="inlineStr">
        <is>
          <t>1. 주문서 배송비 확인</t>
        </is>
      </c>
      <c r="K48" s="12" t="inlineStr">
        <is>
          <t>상품 P5</t>
        </is>
      </c>
      <c r="L48" s="12" t="inlineStr">
        <is>
          <t>1. 배송비 0원으로 표시되고 신규 혜택 적용 안내가 확인된다(도서산간 추가비 포함 여부 기록)</t>
        </is>
      </c>
      <c r="M48" s="6" t="inlineStr">
        <is>
          <t>Q01</t>
        </is>
      </c>
      <c r="N48" s="13" t="n"/>
      <c r="O48" s="14" t="n"/>
      <c r="P48" s="13" t="n"/>
      <c r="Q48" s="13" t="n"/>
      <c r="R48" s="13" t="n"/>
      <c r="S48" s="13" t="n"/>
      <c r="T48" s="12" t="n"/>
    </row>
    <row r="49" ht="79" customHeight="1">
      <c r="A49" s="6" t="inlineStr">
        <is>
          <t>TC-SHP-007</t>
        </is>
      </c>
      <c r="B49" s="6" t="inlineStr">
        <is>
          <t>배송지·배송비</t>
        </is>
      </c>
      <c r="C49" s="6" t="inlineStr">
        <is>
          <t>요청사항</t>
        </is>
      </c>
      <c r="D49" s="6" t="inlineStr"/>
      <c r="E49" s="6" t="inlineStr">
        <is>
          <t>추가 검증</t>
        </is>
      </c>
      <c r="F49" s="6" t="inlineStr">
        <is>
          <t>비결제</t>
        </is>
      </c>
      <c r="G49" s="6" t="inlineStr">
        <is>
          <t>UI</t>
        </is>
      </c>
      <c r="H49" s="6" t="inlineStr">
        <is>
          <t>P3</t>
        </is>
      </c>
      <c r="I49" s="12" t="inlineStr">
        <is>
          <t>주문서 배송 요청사항 입력</t>
        </is>
      </c>
      <c r="J49" s="12" t="inlineStr">
        <is>
          <t>1. 최대 길이(안내 글자 수) 입력 후 1자 추가
2. 이모지·특수문자(&lt;, &gt;, ') 입력
3. 공동현관 비밀번호 입력</t>
        </is>
      </c>
      <c r="K49" s="12" t="inlineStr">
        <is>
          <t>긴 문자열, 이모지, 특수문자</t>
        </is>
      </c>
      <c r="L49" s="12" t="inlineStr">
        <is>
          <t>1. 최대 길이에서 입력이 제한되고 카운터가 표시된다
2. 깨짐·오류 없이 저장된다
3. 저장 후 마스킹 또는 그대로 표시되는지 기록</t>
        </is>
      </c>
      <c r="M49" s="6" t="inlineStr"/>
      <c r="N49" s="13" t="n"/>
      <c r="O49" s="14" t="n"/>
      <c r="P49" s="13" t="n"/>
      <c r="Q49" s="13" t="n"/>
      <c r="R49" s="13" t="n"/>
      <c r="S49" s="13" t="n"/>
      <c r="T49" s="12" t="n"/>
    </row>
    <row r="50" ht="94" customHeight="1">
      <c r="A50" s="6" t="inlineStr">
        <is>
          <t>TC-PAY-001</t>
        </is>
      </c>
      <c r="B50" s="6" t="inlineStr">
        <is>
          <t>결제수단</t>
        </is>
      </c>
      <c r="C50" s="6" t="inlineStr">
        <is>
          <t>목록·단일 선택</t>
        </is>
      </c>
      <c r="D50" s="6" t="inlineStr">
        <is>
          <t>REQ-01</t>
        </is>
      </c>
      <c r="E50" s="6" t="inlineStr">
        <is>
          <t>요구사항</t>
        </is>
      </c>
      <c r="F50" s="6" t="inlineStr">
        <is>
          <t>비결제</t>
        </is>
      </c>
      <c r="G50" s="6" t="inlineStr">
        <is>
          <t>UI</t>
        </is>
      </c>
      <c r="H50" s="6" t="inlineStr">
        <is>
          <t>P1</t>
        </is>
      </c>
      <c r="I50" s="12" t="inlineStr">
        <is>
          <t>주문서 결제수단 영역</t>
        </is>
      </c>
      <c r="J50" s="12" t="inlineStr">
        <is>
          <t>1. 결제수단 목록 확인
2. 무신사페이 선택 후 신용카드 선택
3. 간편결제 하위 항목 확인</t>
        </is>
      </c>
      <c r="K50" s="12" t="inlineStr"/>
      <c r="L50" s="12" t="inlineStr">
        <is>
          <t>1. 무신사머니·무신사페이·일반 결제 그룹이 노출되고 일반 결제에 REQ-01의 수단이 포함된다
2. 한 번에 하나만 선택된다(라디오 동작)
3. 토스페이·카카오페이·삼성페이·KBPay·페이코·Apple Pay가 선택 가능하다</t>
        </is>
      </c>
      <c r="M50" s="6" t="inlineStr"/>
      <c r="N50" s="13" t="n"/>
      <c r="O50" s="14" t="n"/>
      <c r="P50" s="13" t="n"/>
      <c r="Q50" s="13" t="n"/>
      <c r="R50" s="13" t="n"/>
      <c r="S50" s="13" t="n"/>
      <c r="T50" s="12" t="n"/>
    </row>
    <row r="51" ht="49" customHeight="1">
      <c r="A51" s="6" t="inlineStr">
        <is>
          <t>TC-PAY-002</t>
        </is>
      </c>
      <c r="B51" s="6" t="inlineStr">
        <is>
          <t>결제수단</t>
        </is>
      </c>
      <c r="C51" s="6" t="inlineStr">
        <is>
          <t>자동 충전</t>
        </is>
      </c>
      <c r="D51" s="6" t="inlineStr">
        <is>
          <t>REQ-01, REQ-11</t>
        </is>
      </c>
      <c r="E51" s="6" t="inlineStr">
        <is>
          <t>요구사항</t>
        </is>
      </c>
      <c r="F51" s="6" t="inlineStr">
        <is>
          <t>비결제</t>
        </is>
      </c>
      <c r="G51" s="6" t="inlineStr">
        <is>
          <t>API</t>
        </is>
      </c>
      <c r="H51" s="6" t="inlineStr">
        <is>
          <t>P2</t>
        </is>
      </c>
      <c r="I51" s="12" t="inlineStr">
        <is>
          <t>무신사머니 가입, 잔액이 결제 금액보다 적음</t>
        </is>
      </c>
      <c r="J51" s="12" t="inlineStr">
        <is>
          <t>1. 무신사머니 선택
2. 부족 금액·충전 안내 확인(충전 실행 전 중단)</t>
        </is>
      </c>
      <c r="K51" s="12" t="inlineStr">
        <is>
          <t>잔액 &lt; 결제 금액</t>
        </is>
      </c>
      <c r="L51" s="12" t="inlineStr">
        <is>
          <t>1. 복합 결제 UI가 없다
2. 부족분이 2만 원 단위로 자동 충전된다는 안내와 충전 예정 금액이 표시된다</t>
        </is>
      </c>
      <c r="M51" s="6" t="inlineStr"/>
      <c r="N51" s="13" t="n"/>
      <c r="O51" s="14" t="n"/>
      <c r="P51" s="13" t="n"/>
      <c r="Q51" s="13" t="n"/>
      <c r="R51" s="13" t="n"/>
      <c r="S51" s="13" t="n"/>
      <c r="T51" s="12" t="n"/>
    </row>
    <row r="52" ht="64" customHeight="1">
      <c r="A52" s="6" t="inlineStr">
        <is>
          <t>TC-PAY-003</t>
        </is>
      </c>
      <c r="B52" s="6" t="inlineStr">
        <is>
          <t>결제수단</t>
        </is>
      </c>
      <c r="C52" s="6" t="inlineStr">
        <is>
          <t>즉시 할인 자동 선택</t>
        </is>
      </c>
      <c r="D52" s="6" t="inlineStr">
        <is>
          <t>REQ-02</t>
        </is>
      </c>
      <c r="E52" s="6" t="inlineStr">
        <is>
          <t>요구사항</t>
        </is>
      </c>
      <c r="F52" s="6" t="inlineStr">
        <is>
          <t>비결제</t>
        </is>
      </c>
      <c r="G52" s="6" t="inlineStr">
        <is>
          <t>API</t>
        </is>
      </c>
      <c r="H52" s="6" t="inlineStr">
        <is>
          <t>P1</t>
        </is>
      </c>
      <c r="I52" s="12" t="inlineStr">
        <is>
          <t>결제수단 즉시 할인 프로모션 진행 중(이벤트 &gt; 혜택에서 확인)</t>
        </is>
      </c>
      <c r="J52" s="12" t="inlineStr">
        <is>
          <t>1. 주문서 진입 시 선택된 결제수단 확인
2. 다른 결제수단 선택 시도
3. 즉시 할인 해제 후 다른 수단 선택</t>
        </is>
      </c>
      <c r="K52" s="12" t="inlineStr">
        <is>
          <t>프로모션 결제수단</t>
        </is>
      </c>
      <c r="L52" s="12" t="inlineStr">
        <is>
          <t>1. 프로모션 수단이 자동 선택되고 즉시 할인 금액이 표시된다
2. 해제 안내가 표시되고 바로 바뀌지 않는다
3. 변경되고 즉시 할인이 금액에서 제거된다</t>
        </is>
      </c>
      <c r="M52" s="6" t="inlineStr">
        <is>
          <t>Q09</t>
        </is>
      </c>
      <c r="N52" s="13" t="n"/>
      <c r="O52" s="14" t="n"/>
      <c r="P52" s="13" t="n"/>
      <c r="Q52" s="13" t="n"/>
      <c r="R52" s="13" t="n"/>
      <c r="S52" s="13" t="n"/>
      <c r="T52" s="12" t="n"/>
    </row>
    <row r="53" ht="49" customHeight="1">
      <c r="A53" s="6" t="inlineStr">
        <is>
          <t>TC-PAY-004</t>
        </is>
      </c>
      <c r="B53" s="6" t="inlineStr">
        <is>
          <t>결제수단</t>
        </is>
      </c>
      <c r="C53" s="6" t="inlineStr">
        <is>
          <t>휴대폰 한도</t>
        </is>
      </c>
      <c r="D53" s="6" t="inlineStr">
        <is>
          <t>REQ-11</t>
        </is>
      </c>
      <c r="E53" s="6" t="inlineStr">
        <is>
          <t>요구사항</t>
        </is>
      </c>
      <c r="F53" s="6" t="inlineStr">
        <is>
          <t>비결제</t>
        </is>
      </c>
      <c r="G53" s="6" t="inlineStr">
        <is>
          <t>API</t>
        </is>
      </c>
      <c r="H53" s="6" t="inlineStr">
        <is>
          <t>P2</t>
        </is>
      </c>
      <c r="I53" s="12" t="inlineStr">
        <is>
          <t>결제 금액 499,990원 / 500,000원 구성</t>
        </is>
      </c>
      <c r="J53" s="12" t="inlineStr">
        <is>
          <t>1. 499,990원에서 휴대폰 결제 선택
2. 500,000원에서 휴대폰 결제 선택</t>
        </is>
      </c>
      <c r="K53" s="12" t="inlineStr">
        <is>
          <t>499,990 / 500,000</t>
        </is>
      </c>
      <c r="L53" s="12" t="inlineStr">
        <is>
          <t>1. 선택 가능하다
2. 선택 불가 또는 한도 안내가 표시된다(기준이 배송비 포함인지 기록)</t>
        </is>
      </c>
      <c r="M53" s="6" t="inlineStr">
        <is>
          <t>Q07</t>
        </is>
      </c>
      <c r="N53" s="13" t="n"/>
      <c r="O53" s="14" t="n"/>
      <c r="P53" s="13" t="n"/>
      <c r="Q53" s="13" t="n"/>
      <c r="R53" s="13" t="n"/>
      <c r="S53" s="13" t="n"/>
      <c r="T53" s="12" t="n"/>
    </row>
    <row r="54" ht="34" customHeight="1">
      <c r="A54" s="6" t="inlineStr">
        <is>
          <t>TC-PAY-005</t>
        </is>
      </c>
      <c r="B54" s="6" t="inlineStr">
        <is>
          <t>결제수단</t>
        </is>
      </c>
      <c r="C54" s="6" t="inlineStr">
        <is>
          <t>무신사머니 한도</t>
        </is>
      </c>
      <c r="D54" s="6" t="inlineStr">
        <is>
          <t>REQ-11</t>
        </is>
      </c>
      <c r="E54" s="6" t="inlineStr">
        <is>
          <t>요구사항</t>
        </is>
      </c>
      <c r="F54" s="6" t="inlineStr">
        <is>
          <t>비결제</t>
        </is>
      </c>
      <c r="G54" s="6" t="inlineStr">
        <is>
          <t>API</t>
        </is>
      </c>
      <c r="H54" s="6" t="inlineStr">
        <is>
          <t>P3</t>
        </is>
      </c>
      <c r="I54" s="12" t="inlineStr">
        <is>
          <t>200만 원 초과 상품(부티크) 주문서</t>
        </is>
      </c>
      <c r="J54" s="12" t="inlineStr">
        <is>
          <t>1. 무신사머니 선택 시도</t>
        </is>
      </c>
      <c r="K54" s="12" t="inlineStr">
        <is>
          <t>200만 원 초과 상품</t>
        </is>
      </c>
      <c r="L54" s="12" t="inlineStr">
        <is>
          <t>1. 선택 불가 또는 '200만 원 이하 상품만' 안내가 표시된다</t>
        </is>
      </c>
      <c r="M54" s="6" t="inlineStr">
        <is>
          <t>Q07</t>
        </is>
      </c>
      <c r="N54" s="13" t="n"/>
      <c r="O54" s="14" t="n"/>
      <c r="P54" s="13" t="n"/>
      <c r="Q54" s="13" t="n"/>
      <c r="R54" s="13" t="n"/>
      <c r="S54" s="13" t="n"/>
      <c r="T54" s="12" t="n"/>
    </row>
    <row r="55" ht="64" customHeight="1">
      <c r="A55" s="6" t="inlineStr">
        <is>
          <t>TC-PAY-006</t>
        </is>
      </c>
      <c r="B55" s="6" t="inlineStr">
        <is>
          <t>결제수단</t>
        </is>
      </c>
      <c r="C55" s="6" t="inlineStr">
        <is>
          <t>Apple Pay 취소</t>
        </is>
      </c>
      <c r="D55" s="6" t="inlineStr">
        <is>
          <t>REQ-01</t>
        </is>
      </c>
      <c r="E55" s="6" t="inlineStr">
        <is>
          <t>리스크 기반</t>
        </is>
      </c>
      <c r="F55" s="6" t="inlineStr">
        <is>
          <t>비결제</t>
        </is>
      </c>
      <c r="G55" s="6" t="inlineStr">
        <is>
          <t>수동</t>
        </is>
      </c>
      <c r="H55" s="6" t="inlineStr">
        <is>
          <t>P1</t>
        </is>
      </c>
      <c r="I55" s="12" t="inlineStr">
        <is>
          <t>Apple Pay 카드 등록, 쿠폰·적립금 적용 주문서</t>
        </is>
      </c>
      <c r="J55" s="12" t="inlineStr">
        <is>
          <t>1. Apple Pay 선택 후 [결제하기]
2. Apple Pay 시트에서 취소
3. 주문 내역·쿠폰함·적립금 잔액 확인</t>
        </is>
      </c>
      <c r="K55" s="12" t="inlineStr">
        <is>
          <t>쿠폰 C1, 적립금 1,000원</t>
        </is>
      </c>
      <c r="L55" s="12" t="inlineStr">
        <is>
          <t>1. Apple Pay 시트가 표시된다
2. 주문서로 복귀하고 입력 상태가 유지된다
3. 결제대기 주문이 남지 않거나 남더라도 쿠폰·적립금이 즉시 반환된다(현재 동작 기록)</t>
        </is>
      </c>
      <c r="M55" s="6" t="inlineStr">
        <is>
          <t>Q06</t>
        </is>
      </c>
      <c r="N55" s="13" t="n"/>
      <c r="O55" s="14" t="n"/>
      <c r="P55" s="13" t="n"/>
      <c r="Q55" s="13" t="n"/>
      <c r="R55" s="13" t="n"/>
      <c r="S55" s="13" t="n"/>
      <c r="T55" s="12" t="n"/>
    </row>
    <row r="56" ht="79" customHeight="1">
      <c r="A56" s="6" t="inlineStr">
        <is>
          <t>TC-PAY-007</t>
        </is>
      </c>
      <c r="B56" s="6" t="inlineStr">
        <is>
          <t>결제수단</t>
        </is>
      </c>
      <c r="C56" s="6" t="inlineStr">
        <is>
          <t>PG 이탈</t>
        </is>
      </c>
      <c r="D56" s="6" t="inlineStr">
        <is>
          <t>REQ-01</t>
        </is>
      </c>
      <c r="E56" s="6" t="inlineStr">
        <is>
          <t>리스크 기반</t>
        </is>
      </c>
      <c r="F56" s="6" t="inlineStr">
        <is>
          <t>비결제</t>
        </is>
      </c>
      <c r="G56" s="6" t="inlineStr">
        <is>
          <t>수동</t>
        </is>
      </c>
      <c r="H56" s="6" t="inlineStr">
        <is>
          <t>P1</t>
        </is>
      </c>
      <c r="I56" s="12" t="inlineStr">
        <is>
          <t>신용카드 선택, 쿠폰·적립금 적용</t>
        </is>
      </c>
      <c r="J56" s="12" t="inlineStr">
        <is>
          <t>1. [결제하기] → PG(카드사) 화면 진입
2. 닫기/뒤로가기로 이탈
3. 주문 내역·쿠폰함·적립금 확인
4. 같은 주문서에서 재시도</t>
        </is>
      </c>
      <c r="K56" s="12" t="inlineStr">
        <is>
          <t>쿠폰 C1, 적립금 1,000원</t>
        </is>
      </c>
      <c r="L56" s="12" t="inlineStr">
        <is>
          <t>2. 주문서로 복귀한다
3. 결제대기 주문 생성 여부와 쿠폰·적립금 반환 여부를 기록한다
4. 재시도가 가능하고 쿠폰이 중복 차감되지 않는다</t>
        </is>
      </c>
      <c r="M56" s="6" t="inlineStr">
        <is>
          <t>Q06</t>
        </is>
      </c>
      <c r="N56" s="13" t="n"/>
      <c r="O56" s="14" t="n"/>
      <c r="P56" s="13" t="n"/>
      <c r="Q56" s="13" t="n"/>
      <c r="R56" s="13" t="n"/>
      <c r="S56" s="13" t="n"/>
      <c r="T56" s="12" t="n"/>
    </row>
    <row r="57" ht="49" customHeight="1">
      <c r="A57" s="6" t="inlineStr">
        <is>
          <t>TC-PAY-008</t>
        </is>
      </c>
      <c r="B57" s="6" t="inlineStr">
        <is>
          <t>결제수단</t>
        </is>
      </c>
      <c r="C57" s="6" t="inlineStr">
        <is>
          <t>PG 중 앱 전환</t>
        </is>
      </c>
      <c r="D57" s="6" t="inlineStr">
        <is>
          <t>REQ-01</t>
        </is>
      </c>
      <c r="E57" s="6" t="inlineStr">
        <is>
          <t>리스크 기반</t>
        </is>
      </c>
      <c r="F57" s="6" t="inlineStr">
        <is>
          <t>비결제</t>
        </is>
      </c>
      <c r="G57" s="6" t="inlineStr">
        <is>
          <t>수동</t>
        </is>
      </c>
      <c r="H57" s="6" t="inlineStr">
        <is>
          <t>P2</t>
        </is>
      </c>
      <c r="I57" s="12" t="inlineStr">
        <is>
          <t>PG 화면 진입 상태</t>
        </is>
      </c>
      <c r="J57" s="12" t="inlineStr">
        <is>
          <t>1. 홈으로 이동 후 3분 대기
2. 앱 복귀</t>
        </is>
      </c>
      <c r="K57" s="12" t="inlineStr"/>
      <c r="L57" s="12" t="inlineStr">
        <is>
          <t>1~2. PG 화면이 유지되거나 세션 만료 시 주문서로 안전하게 복귀하며 오류·빈 화면이 없다</t>
        </is>
      </c>
      <c r="M57" s="6" t="inlineStr">
        <is>
          <t>Q06</t>
        </is>
      </c>
      <c r="N57" s="13" t="n"/>
      <c r="O57" s="14" t="n"/>
      <c r="P57" s="13" t="n"/>
      <c r="Q57" s="13" t="n"/>
      <c r="R57" s="13" t="n"/>
      <c r="S57" s="13" t="n"/>
      <c r="T57" s="12" t="n"/>
    </row>
    <row r="58" ht="64" customHeight="1">
      <c r="A58" s="6" t="inlineStr">
        <is>
          <t>TC-PAY-009</t>
        </is>
      </c>
      <c r="B58" s="6" t="inlineStr">
        <is>
          <t>결제수단</t>
        </is>
      </c>
      <c r="C58" s="6" t="inlineStr">
        <is>
          <t>중복 탭</t>
        </is>
      </c>
      <c r="D58" s="6" t="inlineStr">
        <is>
          <t>REQ-01</t>
        </is>
      </c>
      <c r="E58" s="6" t="inlineStr">
        <is>
          <t>리스크 기반</t>
        </is>
      </c>
      <c r="F58" s="6" t="inlineStr">
        <is>
          <t>실결제</t>
        </is>
      </c>
      <c r="G58" s="6" t="inlineStr">
        <is>
          <t>UI</t>
        </is>
      </c>
      <c r="H58" s="6" t="inlineStr">
        <is>
          <t>P1</t>
        </is>
      </c>
      <c r="I58" s="12" t="inlineStr">
        <is>
          <t>소액 상품(예: 1만 원 이하) 주문서, 무신사페이 또는 Apple Pay</t>
        </is>
      </c>
      <c r="J58" s="12" t="inlineStr">
        <is>
          <t>1. [결제하기]를 빠르게 2회 연속 탭
2. 결제 완료 후 주문 내역 확인
※ 완료 후 TC-CNL-001로 즉시 취소</t>
        </is>
      </c>
      <c r="K58" s="12" t="inlineStr">
        <is>
          <t>소액 상품</t>
        </is>
      </c>
      <c r="L58" s="12" t="inlineStr">
        <is>
          <t>1. 결제 화면이 한 번만 열린다
2. 주문이 1건만 생성된다</t>
        </is>
      </c>
      <c r="M58" s="6" t="inlineStr"/>
      <c r="N58" s="13" t="n"/>
      <c r="O58" s="14" t="n"/>
      <c r="P58" s="13" t="n"/>
      <c r="Q58" s="13" t="n"/>
      <c r="R58" s="13" t="n"/>
      <c r="S58" s="13" t="n"/>
      <c r="T58" s="12" t="n"/>
    </row>
    <row r="59" ht="64" customHeight="1">
      <c r="A59" s="6" t="inlineStr">
        <is>
          <t>TC-PAY-010</t>
        </is>
      </c>
      <c r="B59" s="6" t="inlineStr">
        <is>
          <t>결제수단</t>
        </is>
      </c>
      <c r="C59" s="6" t="inlineStr">
        <is>
          <t>가상계좌 안내</t>
        </is>
      </c>
      <c r="D59" s="6" t="inlineStr">
        <is>
          <t>REQ-10</t>
        </is>
      </c>
      <c r="E59" s="6" t="inlineStr">
        <is>
          <t>요구사항</t>
        </is>
      </c>
      <c r="F59" s="6" t="inlineStr">
        <is>
          <t>장기</t>
        </is>
      </c>
      <c r="G59" s="6" t="inlineStr">
        <is>
          <t>API</t>
        </is>
      </c>
      <c r="H59" s="6" t="inlineStr">
        <is>
          <t>P2</t>
        </is>
      </c>
      <c r="I59" s="12" t="inlineStr">
        <is>
          <t>소액 상품, 가상계좌 선택</t>
        </is>
      </c>
      <c r="J59" s="12" t="inlineStr">
        <is>
          <t>1. 은행 선택 후 [결제하기]
2. 주문 완료 화면·주문 내역의 계좌 정보 확인
3. 입금하지 않음</t>
        </is>
      </c>
      <c r="K59" s="12" t="inlineStr">
        <is>
          <t>소액 상품</t>
        </is>
      </c>
      <c r="L59" s="12" t="inlineStr">
        <is>
          <t>1. 계좌번호·입금 기한(주문 후 48시간)·정확한 입금 금액이 표시된다
2. 주문 상태가 '입금대기'로 표시된다</t>
        </is>
      </c>
      <c r="M59" s="6" t="inlineStr"/>
      <c r="N59" s="13" t="n"/>
      <c r="O59" s="14" t="n"/>
      <c r="P59" s="13" t="n"/>
      <c r="Q59" s="13" t="n"/>
      <c r="R59" s="13" t="n"/>
      <c r="S59" s="13" t="n"/>
      <c r="T59" s="12" t="n"/>
    </row>
    <row r="60" ht="49" customHeight="1">
      <c r="A60" s="6" t="inlineStr">
        <is>
          <t>TC-PAY-011</t>
        </is>
      </c>
      <c r="B60" s="6" t="inlineStr">
        <is>
          <t>결제수단</t>
        </is>
      </c>
      <c r="C60" s="6" t="inlineStr">
        <is>
          <t>가상계좌 자동 취소</t>
        </is>
      </c>
      <c r="D60" s="6" t="inlineStr">
        <is>
          <t>REQ-10</t>
        </is>
      </c>
      <c r="E60" s="6" t="inlineStr">
        <is>
          <t>요구사항</t>
        </is>
      </c>
      <c r="F60" s="6" t="inlineStr">
        <is>
          <t>장기</t>
        </is>
      </c>
      <c r="G60" s="6" t="inlineStr">
        <is>
          <t>API</t>
        </is>
      </c>
      <c r="H60" s="6" t="inlineStr">
        <is>
          <t>P2</t>
        </is>
      </c>
      <c r="I60" s="12" t="inlineStr">
        <is>
          <t>TC-PAY-010 수행 후 48시간 경과(쿠폰·적립금 적용한 주문)</t>
        </is>
      </c>
      <c r="J60" s="12" t="inlineStr">
        <is>
          <t>1. 주문 내역 상태 확인
2. 쿠폰함·적립금 잔액 확인</t>
        </is>
      </c>
      <c r="K60" s="12" t="inlineStr">
        <is>
          <t>TC-PAY-010 주문</t>
        </is>
      </c>
      <c r="L60" s="12" t="inlineStr">
        <is>
          <t>1. 주문이 자동 취소 상태로 표시된다
2. 사용한 쿠폰·적립금이 반환된다</t>
        </is>
      </c>
      <c r="M60" s="6" t="inlineStr"/>
      <c r="N60" s="13" t="n"/>
      <c r="O60" s="14" t="n"/>
      <c r="P60" s="13" t="n"/>
      <c r="Q60" s="13" t="n"/>
      <c r="R60" s="13" t="n"/>
      <c r="S60" s="13" t="n"/>
      <c r="T60" s="12" t="n"/>
    </row>
    <row r="61" ht="64" customHeight="1">
      <c r="A61" s="6" t="inlineStr">
        <is>
          <t>TC-PAY-012</t>
        </is>
      </c>
      <c r="B61" s="6" t="inlineStr">
        <is>
          <t>결제수단</t>
        </is>
      </c>
      <c r="C61" s="6" t="inlineStr">
        <is>
          <t>카드 추가 인증</t>
        </is>
      </c>
      <c r="D61" s="6" t="inlineStr">
        <is>
          <t>REQ-01</t>
        </is>
      </c>
      <c r="E61" s="6" t="inlineStr">
        <is>
          <t>추가 검증</t>
        </is>
      </c>
      <c r="F61" s="6" t="inlineStr">
        <is>
          <t>비결제</t>
        </is>
      </c>
      <c r="G61" s="6" t="inlineStr">
        <is>
          <t>수동</t>
        </is>
      </c>
      <c r="H61" s="6" t="inlineStr">
        <is>
          <t>P3</t>
        </is>
      </c>
      <c r="I61" s="12" t="inlineStr">
        <is>
          <t>결제 금액 30만 원 이상 주문서, 신용카드 선택</t>
        </is>
      </c>
      <c r="J61" s="12" t="inlineStr">
        <is>
          <t>1. [결제하기] → PG 화면 진입 후 인증 단계 확인(결제 전 이탈)</t>
        </is>
      </c>
      <c r="K61" s="12" t="inlineStr">
        <is>
          <t>30만 원 이상</t>
        </is>
      </c>
      <c r="L61" s="12" t="inlineStr">
        <is>
          <t>1. FAQ의 '공인인증서 필요' 문구와 실제 인증 방식(카드사 앱 인증 등)이 일치하는지 기록한다. 불일치 시 안내 문구 결함으로 보고</t>
        </is>
      </c>
      <c r="M61" s="6" t="inlineStr"/>
      <c r="N61" s="13" t="n"/>
      <c r="O61" s="14" t="n"/>
      <c r="P61" s="13" t="n"/>
      <c r="Q61" s="13" t="n"/>
      <c r="R61" s="13" t="n"/>
      <c r="S61" s="13" t="n"/>
      <c r="T61" s="12" t="n"/>
    </row>
    <row r="62" ht="79" customHeight="1">
      <c r="A62" s="6" t="inlineStr">
        <is>
          <t>TC-CNL-001</t>
        </is>
      </c>
      <c r="B62" s="6" t="inlineStr">
        <is>
          <t>주문 취소·상태</t>
        </is>
      </c>
      <c r="C62" s="6" t="inlineStr">
        <is>
          <t>즉시 취소</t>
        </is>
      </c>
      <c r="D62" s="6" t="inlineStr">
        <is>
          <t>REQ-09</t>
        </is>
      </c>
      <c r="E62" s="6" t="inlineStr">
        <is>
          <t>요구사항</t>
        </is>
      </c>
      <c r="F62" s="6" t="inlineStr">
        <is>
          <t>실결제</t>
        </is>
      </c>
      <c r="G62" s="6" t="inlineStr">
        <is>
          <t>API</t>
        </is>
      </c>
      <c r="H62" s="6" t="inlineStr">
        <is>
          <t>P1</t>
        </is>
      </c>
      <c r="I62" s="12" t="inlineStr">
        <is>
          <t>소액 상품 1개, 쿠폰 C1·적립금 1,000원 적용, 무신사페이 결제 완료(TC-PAY-009와 동일 주문 사용 가능)</t>
        </is>
      </c>
      <c r="J62" s="12" t="inlineStr">
        <is>
          <t>1. 주문 완료 화면 확인
2. 마이 &gt; 주문 내역 &gt; 해당 주문 상태 확인
3. [주문 취소] 실행</t>
        </is>
      </c>
      <c r="K62" s="12" t="inlineStr">
        <is>
          <t>소액 주문 1건</t>
        </is>
      </c>
      <c r="L62" s="12" t="inlineStr">
        <is>
          <t>1. 주문번호·결제 금액·결제수단이 주문서와 일치한다
2. 상태가 '결제완료'다
3. 승인 없이 즉시 '취소완료'로 바뀌고 환불 예정 안내(수단별 기간)가 표시된다</t>
        </is>
      </c>
      <c r="M62" s="6" t="inlineStr"/>
      <c r="N62" s="13" t="n"/>
      <c r="O62" s="14" t="n"/>
      <c r="P62" s="13" t="n"/>
      <c r="Q62" s="13" t="n"/>
      <c r="R62" s="13" t="n"/>
      <c r="S62" s="13" t="n"/>
      <c r="T62" s="12" t="n"/>
    </row>
    <row r="63" ht="49" customHeight="1">
      <c r="A63" s="6" t="inlineStr">
        <is>
          <t>TC-CNL-002</t>
        </is>
      </c>
      <c r="B63" s="6" t="inlineStr">
        <is>
          <t>주문 취소·상태</t>
        </is>
      </c>
      <c r="C63" s="6" t="inlineStr">
        <is>
          <t>쿠폰 반환</t>
        </is>
      </c>
      <c r="D63" s="6" t="inlineStr">
        <is>
          <t>REQ-09</t>
        </is>
      </c>
      <c r="E63" s="6" t="inlineStr">
        <is>
          <t>요구사항</t>
        </is>
      </c>
      <c r="F63" s="6" t="inlineStr">
        <is>
          <t>실결제</t>
        </is>
      </c>
      <c r="G63" s="6" t="inlineStr">
        <is>
          <t>API</t>
        </is>
      </c>
      <c r="H63" s="6" t="inlineStr">
        <is>
          <t>P1</t>
        </is>
      </c>
      <c r="I63" s="12" t="inlineStr">
        <is>
          <t>TC-CNL-001 수행 직후</t>
        </is>
      </c>
      <c r="J63" s="12" t="inlineStr">
        <is>
          <t>1. 쿠폰함에서 C1 확인
2. 새 주문서에서 C1 적용</t>
        </is>
      </c>
      <c r="K63" s="12" t="inlineStr">
        <is>
          <t>쿠폰 C1</t>
        </is>
      </c>
      <c r="L63" s="12" t="inlineStr">
        <is>
          <t>1. C1이 사용 가능 상태로 복구되고 유효기간이 원래와 같다
2. 적용된다</t>
        </is>
      </c>
      <c r="M63" s="6" t="inlineStr"/>
      <c r="N63" s="13" t="n"/>
      <c r="O63" s="14" t="n"/>
      <c r="P63" s="13" t="n"/>
      <c r="Q63" s="13" t="n"/>
      <c r="R63" s="13" t="n"/>
      <c r="S63" s="13" t="n"/>
      <c r="T63" s="12" t="n"/>
    </row>
    <row r="64" ht="34" customHeight="1">
      <c r="A64" s="6" t="inlineStr">
        <is>
          <t>TC-CNL-003</t>
        </is>
      </c>
      <c r="B64" s="6" t="inlineStr">
        <is>
          <t>주문 취소·상태</t>
        </is>
      </c>
      <c r="C64" s="6" t="inlineStr">
        <is>
          <t>적립금 반환</t>
        </is>
      </c>
      <c r="D64" s="6" t="inlineStr">
        <is>
          <t>REQ-09, REQ-13</t>
        </is>
      </c>
      <c r="E64" s="6" t="inlineStr">
        <is>
          <t>요구사항</t>
        </is>
      </c>
      <c r="F64" s="6" t="inlineStr">
        <is>
          <t>실결제</t>
        </is>
      </c>
      <c r="G64" s="6" t="inlineStr">
        <is>
          <t>API</t>
        </is>
      </c>
      <c r="H64" s="6" t="inlineStr">
        <is>
          <t>P1</t>
        </is>
      </c>
      <c r="I64" s="12" t="inlineStr">
        <is>
          <t>TC-CNL-001 수행 직후, 취소 전 적립금 잔액 기록</t>
        </is>
      </c>
      <c r="J64" s="12" t="inlineStr">
        <is>
          <t>1. 마이 &gt; 적립금 내역 확인</t>
        </is>
      </c>
      <c r="K64" s="12" t="inlineStr">
        <is>
          <t>적립금 1,000원</t>
        </is>
      </c>
      <c r="L64" s="12" t="inlineStr">
        <is>
          <t>1. 사용한 1,000원이 반환 내역으로 표시되고 잔액이 취소 전 + 1,000원이다</t>
        </is>
      </c>
      <c r="M64" s="6" t="inlineStr"/>
      <c r="N64" s="13" t="n"/>
      <c r="O64" s="14" t="n"/>
      <c r="P64" s="13" t="n"/>
      <c r="Q64" s="13" t="n"/>
      <c r="R64" s="13" t="n"/>
      <c r="S64" s="13" t="n"/>
      <c r="T64" s="12" t="n"/>
    </row>
    <row r="65" ht="79" customHeight="1">
      <c r="A65" s="6" t="inlineStr">
        <is>
          <t>TC-CNL-004</t>
        </is>
      </c>
      <c r="B65" s="6" t="inlineStr">
        <is>
          <t>주문 취소·상태</t>
        </is>
      </c>
      <c r="C65" s="6" t="inlineStr">
        <is>
          <t>부분 취소</t>
        </is>
      </c>
      <c r="D65" s="6" t="inlineStr">
        <is>
          <t>REQ-13</t>
        </is>
      </c>
      <c r="E65" s="6" t="inlineStr">
        <is>
          <t>요구사항</t>
        </is>
      </c>
      <c r="F65" s="6" t="inlineStr">
        <is>
          <t>실결제</t>
        </is>
      </c>
      <c r="G65" s="6" t="inlineStr">
        <is>
          <t>API</t>
        </is>
      </c>
      <c r="H65" s="6" t="inlineStr">
        <is>
          <t>P2</t>
        </is>
      </c>
      <c r="I65" s="12" t="inlineStr">
        <is>
          <t>서로 다른 상품 2개(A 10,000원, B 20,000원) 주문, 적립금 2,100원(7%) 사용, 결제완료 상태</t>
        </is>
      </c>
      <c r="J65" s="12" t="inlineStr">
        <is>
          <t>1. A만 취소
2. 적립금 내역·환불 금액 확인
3. B도 취소</t>
        </is>
      </c>
      <c r="K65" s="12" t="inlineStr">
        <is>
          <t>A 10,000 / B 20,000, 적립금 2,100원</t>
        </is>
      </c>
      <c r="L65" s="12" t="inlineStr">
        <is>
          <t>1. A만 취소된다
2. 적립금 700원(A의 7%)이 반환되고 환불 금액은 9,300원이다, 배송비 변동이 있으면 재계산 내역이 표시된다
3. 나머지 1,400원이 반환된다</t>
        </is>
      </c>
      <c r="M65" s="6" t="inlineStr">
        <is>
          <t>Q01</t>
        </is>
      </c>
      <c r="N65" s="13" t="n"/>
      <c r="O65" s="14" t="n"/>
      <c r="P65" s="13" t="n"/>
      <c r="Q65" s="13" t="n"/>
      <c r="R65" s="13" t="n"/>
      <c r="S65" s="13" t="n"/>
      <c r="T65" s="12" t="n"/>
    </row>
    <row r="66" ht="79" customHeight="1">
      <c r="A66" s="6" t="inlineStr">
        <is>
          <t>TC-CNL-005</t>
        </is>
      </c>
      <c r="B66" s="6" t="inlineStr">
        <is>
          <t>주문 취소·상태</t>
        </is>
      </c>
      <c r="C66" s="6" t="inlineStr">
        <is>
          <t>준비중 취소 요청</t>
        </is>
      </c>
      <c r="D66" s="6" t="inlineStr">
        <is>
          <t>REQ-09</t>
        </is>
      </c>
      <c r="E66" s="6" t="inlineStr">
        <is>
          <t>요구사항</t>
        </is>
      </c>
      <c r="F66" s="6" t="inlineStr">
        <is>
          <t>장기</t>
        </is>
      </c>
      <c r="G66" s="6" t="inlineStr">
        <is>
          <t>API</t>
        </is>
      </c>
      <c r="H66" s="6" t="inlineStr">
        <is>
          <t>P2</t>
        </is>
      </c>
      <c r="I66" s="12" t="inlineStr">
        <is>
          <t>결제완료 주문이 '상품준비중'으로 전환됨(브랜드 접수 후)</t>
        </is>
      </c>
      <c r="J66" s="12" t="inlineStr">
        <is>
          <t>1. [주문 취소 요청] 실행
2. 상태·안내 확인
3. 승인/거절 결과 확인</t>
        </is>
      </c>
      <c r="K66" s="12" t="inlineStr">
        <is>
          <t>실결제 주문</t>
        </is>
      </c>
      <c r="L66" s="12" t="inlineStr">
        <is>
          <t>1. 즉시 취소되지 않고 '취소 요청' 상태로 표시된다
2. 거절 가능성 안내가 표시된다
3. 승인 시 '취소완료', 거절 시 알림과 상태 표시(Q11 기록)</t>
        </is>
      </c>
      <c r="M66" s="6" t="inlineStr">
        <is>
          <t>Q11</t>
        </is>
      </c>
      <c r="N66" s="13" t="n"/>
      <c r="O66" s="14" t="n"/>
      <c r="P66" s="13" t="n"/>
      <c r="Q66" s="13" t="n"/>
      <c r="R66" s="13" t="n"/>
      <c r="S66" s="13" t="n"/>
      <c r="T66" s="12" t="n"/>
    </row>
    <row r="67" ht="34" customHeight="1">
      <c r="A67" s="6" t="inlineStr">
        <is>
          <t>TC-CNL-006</t>
        </is>
      </c>
      <c r="B67" s="6" t="inlineStr">
        <is>
          <t>주문 취소·상태</t>
        </is>
      </c>
      <c r="C67" s="6" t="inlineStr">
        <is>
          <t>결제수단 변경</t>
        </is>
      </c>
      <c r="D67" s="6" t="inlineStr">
        <is>
          <t>REQ-14</t>
        </is>
      </c>
      <c r="E67" s="6" t="inlineStr">
        <is>
          <t>요구사항</t>
        </is>
      </c>
      <c r="F67" s="6" t="inlineStr">
        <is>
          <t>비결제</t>
        </is>
      </c>
      <c r="G67" s="6" t="inlineStr">
        <is>
          <t>UI</t>
        </is>
      </c>
      <c r="H67" s="6" t="inlineStr">
        <is>
          <t>P3</t>
        </is>
      </c>
      <c r="I67" s="12" t="inlineStr">
        <is>
          <t>결제완료 주문 상세</t>
        </is>
      </c>
      <c r="J67" s="12" t="inlineStr">
        <is>
          <t>1. 결제수단 변경 메뉴 유무 확인</t>
        </is>
      </c>
      <c r="K67" s="12" t="inlineStr"/>
      <c r="L67" s="12" t="inlineStr">
        <is>
          <t>1. 변경 메뉴가 없고, 고객센터 안내 등에 '취소 후 재주문' 안내가 확인된다</t>
        </is>
      </c>
      <c r="M67" s="6" t="inlineStr"/>
      <c r="N67" s="13" t="n"/>
      <c r="O67" s="14" t="n"/>
      <c r="P67" s="13" t="n"/>
      <c r="Q67" s="13" t="n"/>
      <c r="R67" s="13" t="n"/>
      <c r="S67" s="13" t="n"/>
      <c r="T67" s="12" t="n"/>
    </row>
    <row r="68" ht="34" customHeight="1">
      <c r="A68" s="6" t="inlineStr">
        <is>
          <t>TC-CNL-007</t>
        </is>
      </c>
      <c r="B68" s="6" t="inlineStr">
        <is>
          <t>주문 취소·상태</t>
        </is>
      </c>
      <c r="C68" s="6" t="inlineStr">
        <is>
          <t>주문제작 상품</t>
        </is>
      </c>
      <c r="D68" s="6" t="inlineStr">
        <is>
          <t>REQ-09</t>
        </is>
      </c>
      <c r="E68" s="6" t="inlineStr">
        <is>
          <t>요구사항</t>
        </is>
      </c>
      <c r="F68" s="6" t="inlineStr">
        <is>
          <t>비결제</t>
        </is>
      </c>
      <c r="G68" s="6" t="inlineStr">
        <is>
          <t>UI</t>
        </is>
      </c>
      <c r="H68" s="6" t="inlineStr">
        <is>
          <t>P3</t>
        </is>
      </c>
      <c r="I68" s="12" t="inlineStr">
        <is>
          <t>상품명에 '주문제작'이 표기된 상품 상세·주문서</t>
        </is>
      </c>
      <c r="J68" s="12" t="inlineStr">
        <is>
          <t>1. 상세·주문서에서 취소 제한 안내 확인</t>
        </is>
      </c>
      <c r="K68" s="12" t="inlineStr">
        <is>
          <t>주문제작 상품</t>
        </is>
      </c>
      <c r="L68" s="12" t="inlineStr">
        <is>
          <t>1. 상품준비중 취소 불가 취지의 안내가 결제 전에 표시된다</t>
        </is>
      </c>
      <c r="M68" s="6" t="inlineStr"/>
      <c r="N68" s="13" t="n"/>
      <c r="O68" s="14" t="n"/>
      <c r="P68" s="13" t="n"/>
      <c r="Q68" s="13" t="n"/>
      <c r="R68" s="13" t="n"/>
      <c r="S68" s="13" t="n"/>
      <c r="T68" s="12" t="n"/>
    </row>
    <row r="69" ht="64" customHeight="1">
      <c r="A69" s="6" t="inlineStr">
        <is>
          <t>TC-MOB-001</t>
        </is>
      </c>
      <c r="B69" s="6" t="inlineStr">
        <is>
          <t>모바일 특화</t>
        </is>
      </c>
      <c r="C69" s="6" t="inlineStr">
        <is>
          <t>백그라운드 복귀</t>
        </is>
      </c>
      <c r="D69" s="6" t="inlineStr"/>
      <c r="E69" s="6" t="inlineStr">
        <is>
          <t>리스크 기반</t>
        </is>
      </c>
      <c r="F69" s="6" t="inlineStr">
        <is>
          <t>비결제</t>
        </is>
      </c>
      <c r="G69" s="6" t="inlineStr">
        <is>
          <t>UI</t>
        </is>
      </c>
      <c r="H69" s="6" t="inlineStr">
        <is>
          <t>P1</t>
        </is>
      </c>
      <c r="I69" s="12" t="inlineStr">
        <is>
          <t>주문서에서 쿠폰·적립금·요청사항 입력</t>
        </is>
      </c>
      <c r="J69" s="12" t="inlineStr">
        <is>
          <t>1. 홈 버튼으로 백그라운드 전환
2. 10분 후 복귀
3. 60분 후 복귀</t>
        </is>
      </c>
      <c r="K69" s="12" t="inlineStr">
        <is>
          <t>쿠폰 C1, 적립금 1,000원</t>
        </is>
      </c>
      <c r="L69" s="12" t="inlineStr">
        <is>
          <t>1~2. 주문서와 입력값이 유지된다
3. 세션 만료 시 안내 후 재로그인·주문서 재진입이 가능하고 금액이 재계산된다(빈 화면·크래시 없음)</t>
        </is>
      </c>
      <c r="M69" s="6" t="inlineStr"/>
      <c r="N69" s="13" t="n"/>
      <c r="O69" s="14" t="n"/>
      <c r="P69" s="13" t="n"/>
      <c r="Q69" s="13" t="n"/>
      <c r="R69" s="13" t="n"/>
      <c r="S69" s="13" t="n"/>
      <c r="T69" s="12" t="n"/>
    </row>
    <row r="70" ht="64" customHeight="1">
      <c r="A70" s="6" t="inlineStr">
        <is>
          <t>TC-MOB-002</t>
        </is>
      </c>
      <c r="B70" s="6" t="inlineStr">
        <is>
          <t>모바일 특화</t>
        </is>
      </c>
      <c r="C70" s="6" t="inlineStr">
        <is>
          <t>오프라인</t>
        </is>
      </c>
      <c r="D70" s="6" t="inlineStr"/>
      <c r="E70" s="6" t="inlineStr">
        <is>
          <t>리스크 기반</t>
        </is>
      </c>
      <c r="F70" s="6" t="inlineStr">
        <is>
          <t>비결제</t>
        </is>
      </c>
      <c r="G70" s="6" t="inlineStr">
        <is>
          <t>수동</t>
        </is>
      </c>
      <c r="H70" s="6" t="inlineStr">
        <is>
          <t>P1</t>
        </is>
      </c>
      <c r="I70" s="12" t="inlineStr">
        <is>
          <t>비행기 모드 ON</t>
        </is>
      </c>
      <c r="J70" s="12" t="inlineStr">
        <is>
          <t>1. 장바구니 담기 시도
2. 주문서 진입 시도
3. 비행기 모드 OFF 후 재시도</t>
        </is>
      </c>
      <c r="K70" s="12" t="inlineStr"/>
      <c r="L70" s="12" t="inlineStr">
        <is>
          <t>1~2. 네트워크 오류 안내가 표시되고 무한 로딩·크래시가 없다
3. 정상 동작하며 오프라인 중 시도한 담기가 중복 반영되지 않는다</t>
        </is>
      </c>
      <c r="M70" s="6" t="inlineStr"/>
      <c r="N70" s="13" t="n"/>
      <c r="O70" s="14" t="n"/>
      <c r="P70" s="13" t="n"/>
      <c r="Q70" s="13" t="n"/>
      <c r="R70" s="13" t="n"/>
      <c r="S70" s="13" t="n"/>
      <c r="T70" s="12" t="n"/>
    </row>
    <row r="71" ht="64" customHeight="1">
      <c r="A71" s="6" t="inlineStr">
        <is>
          <t>TC-MOB-003</t>
        </is>
      </c>
      <c r="B71" s="6" t="inlineStr">
        <is>
          <t>모바일 특화</t>
        </is>
      </c>
      <c r="C71" s="6" t="inlineStr">
        <is>
          <t>네트워크 전환</t>
        </is>
      </c>
      <c r="D71" s="6" t="inlineStr"/>
      <c r="E71" s="6" t="inlineStr">
        <is>
          <t>리스크 기반</t>
        </is>
      </c>
      <c r="F71" s="6" t="inlineStr">
        <is>
          <t>비결제</t>
        </is>
      </c>
      <c r="G71" s="6" t="inlineStr">
        <is>
          <t>수동</t>
        </is>
      </c>
      <c r="H71" s="6" t="inlineStr">
        <is>
          <t>P2</t>
        </is>
      </c>
      <c r="I71" s="12" t="inlineStr">
        <is>
          <t>Wi-Fi 연결 상태</t>
        </is>
      </c>
      <c r="J71" s="12" t="inlineStr">
        <is>
          <t>1. 주문서 로딩 중 Wi-Fi OFF → LTE 전환
2. 적립금 입력 직후 LTE → Wi-Fi 전환</t>
        </is>
      </c>
      <c r="K71" s="12" t="inlineStr"/>
      <c r="L71" s="12" t="inlineStr">
        <is>
          <t>1~2. 로딩이 완료되고 금액·입력값이 정확하다, 오류 시 재시도 안내가 표시된다</t>
        </is>
      </c>
      <c r="M71" s="6" t="inlineStr"/>
      <c r="N71" s="13" t="n"/>
      <c r="O71" s="14" t="n"/>
      <c r="P71" s="13" t="n"/>
      <c r="Q71" s="13" t="n"/>
      <c r="R71" s="13" t="n"/>
      <c r="S71" s="13" t="n"/>
      <c r="T71" s="12" t="n"/>
    </row>
    <row r="72" ht="49" customHeight="1">
      <c r="A72" s="6" t="inlineStr">
        <is>
          <t>TC-MOB-004</t>
        </is>
      </c>
      <c r="B72" s="6" t="inlineStr">
        <is>
          <t>모바일 특화</t>
        </is>
      </c>
      <c r="C72" s="6" t="inlineStr">
        <is>
          <t>인터럽트</t>
        </is>
      </c>
      <c r="D72" s="6" t="inlineStr"/>
      <c r="E72" s="6" t="inlineStr">
        <is>
          <t>리스크 기반</t>
        </is>
      </c>
      <c r="F72" s="6" t="inlineStr">
        <is>
          <t>비결제</t>
        </is>
      </c>
      <c r="G72" s="6" t="inlineStr">
        <is>
          <t>수동</t>
        </is>
      </c>
      <c r="H72" s="6" t="inlineStr">
        <is>
          <t>P1</t>
        </is>
      </c>
      <c r="I72" s="12" t="inlineStr">
        <is>
          <t>PG 화면 또는 Apple Pay 시트 표시 중</t>
        </is>
      </c>
      <c r="J72" s="12" t="inlineStr">
        <is>
          <t>1. 전화 수신(보조 폰에서 발신) 후 통화 10초
2. 통화 종료 후 앱 복귀</t>
        </is>
      </c>
      <c r="K72" s="12" t="inlineStr"/>
      <c r="L72" s="12" t="inlineStr">
        <is>
          <t>1~2. 결제 화면이 유지되거나 주문서로 안전 복귀하며 중복 주문·결제가 발생하지 않는다</t>
        </is>
      </c>
      <c r="M72" s="6" t="inlineStr">
        <is>
          <t>Q06</t>
        </is>
      </c>
      <c r="N72" s="13" t="n"/>
      <c r="O72" s="14" t="n"/>
      <c r="P72" s="13" t="n"/>
      <c r="Q72" s="13" t="n"/>
      <c r="R72" s="13" t="n"/>
      <c r="S72" s="13" t="n"/>
      <c r="T72" s="12" t="n"/>
    </row>
    <row r="73" ht="64" customHeight="1">
      <c r="A73" s="6" t="inlineStr">
        <is>
          <t>TC-MOB-005</t>
        </is>
      </c>
      <c r="B73" s="6" t="inlineStr">
        <is>
          <t>모바일 특화</t>
        </is>
      </c>
      <c r="C73" s="6" t="inlineStr">
        <is>
          <t>푸시 딥링크</t>
        </is>
      </c>
      <c r="D73" s="6" t="inlineStr"/>
      <c r="E73" s="6" t="inlineStr">
        <is>
          <t>추가 검증</t>
        </is>
      </c>
      <c r="F73" s="6" t="inlineStr">
        <is>
          <t>비결제</t>
        </is>
      </c>
      <c r="G73" s="6" t="inlineStr">
        <is>
          <t>수동</t>
        </is>
      </c>
      <c r="H73" s="6" t="inlineStr">
        <is>
          <t>P2</t>
        </is>
      </c>
      <c r="I73" s="12" t="inlineStr">
        <is>
          <t>쿠폰 지급·혜택 푸시 수신(알림 허용 상태), 주문서 작성 중</t>
        </is>
      </c>
      <c r="J73" s="12" t="inlineStr">
        <is>
          <t>1. 알림 센터에서 푸시 탭
2. 이동한 화면 확인
3. 뒤로가기로 주문서 복귀 시도</t>
        </is>
      </c>
      <c r="K73" s="12" t="inlineStr">
        <is>
          <t>혜택 푸시</t>
        </is>
      </c>
      <c r="L73" s="12" t="inlineStr">
        <is>
          <t>1~2. 푸시 대상 화면(쿠폰함·이벤트)으로 이동한다
3. 주문서 상태가 유지되거나 장바구니로 안내된다(현재 동작 기록), 크래시 없음</t>
        </is>
      </c>
      <c r="M73" s="6" t="inlineStr"/>
      <c r="N73" s="13" t="n"/>
      <c r="O73" s="14" t="n"/>
      <c r="P73" s="13" t="n"/>
      <c r="Q73" s="13" t="n"/>
      <c r="R73" s="13" t="n"/>
      <c r="S73" s="13" t="n"/>
      <c r="T73" s="12" t="n"/>
    </row>
    <row r="74" ht="64" customHeight="1">
      <c r="A74" s="6" t="inlineStr">
        <is>
          <t>TC-MOB-006</t>
        </is>
      </c>
      <c r="B74" s="6" t="inlineStr">
        <is>
          <t>모바일 특화</t>
        </is>
      </c>
      <c r="C74" s="6" t="inlineStr">
        <is>
          <t>유니버설 링크</t>
        </is>
      </c>
      <c r="D74" s="6" t="inlineStr"/>
      <c r="E74" s="6" t="inlineStr">
        <is>
          <t>추가 검증</t>
        </is>
      </c>
      <c r="F74" s="6" t="inlineStr">
        <is>
          <t>비결제</t>
        </is>
      </c>
      <c r="G74" s="6" t="inlineStr">
        <is>
          <t>UI</t>
        </is>
      </c>
      <c r="H74" s="6" t="inlineStr">
        <is>
          <t>P2</t>
        </is>
      </c>
      <c r="I74" s="12" t="inlineStr">
        <is>
          <t>앱 설치 상태, Safari</t>
        </is>
      </c>
      <c r="J74" s="12" t="inlineStr">
        <is>
          <t>1. Safari에서 상품 URL(musinsa.com/products/…) 열기
2. 앱 미설치 기기(또는 앱 삭제 후)에서 같은 URL 열기</t>
        </is>
      </c>
      <c r="K74" s="12" t="inlineStr">
        <is>
          <t>상품 URL</t>
        </is>
      </c>
      <c r="L74" s="12" t="inlineStr">
        <is>
          <t>1. 앱의 해당 상품 상세가 열리고 장바구니 담기가 가능하다
2. 웹 상품 페이지 또는 앱 설치 유도가 표시된다</t>
        </is>
      </c>
      <c r="M74" s="6" t="inlineStr"/>
      <c r="N74" s="13" t="n"/>
      <c r="O74" s="14" t="n"/>
      <c r="P74" s="13" t="n"/>
      <c r="Q74" s="13" t="n"/>
      <c r="R74" s="13" t="n"/>
      <c r="S74" s="13" t="n"/>
      <c r="T74" s="12" t="n"/>
    </row>
    <row r="75" ht="49" customHeight="1">
      <c r="A75" s="6" t="inlineStr">
        <is>
          <t>TC-MOB-007</t>
        </is>
      </c>
      <c r="B75" s="6" t="inlineStr">
        <is>
          <t>모바일 특화</t>
        </is>
      </c>
      <c r="C75" s="6" t="inlineStr">
        <is>
          <t>결제 중 강제 종료</t>
        </is>
      </c>
      <c r="D75" s="6" t="inlineStr"/>
      <c r="E75" s="6" t="inlineStr">
        <is>
          <t>리스크 기반</t>
        </is>
      </c>
      <c r="F75" s="6" t="inlineStr">
        <is>
          <t>비결제</t>
        </is>
      </c>
      <c r="G75" s="6" t="inlineStr">
        <is>
          <t>수동</t>
        </is>
      </c>
      <c r="H75" s="6" t="inlineStr">
        <is>
          <t>P1</t>
        </is>
      </c>
      <c r="I75" s="12" t="inlineStr">
        <is>
          <t>PG 화면 진입 상태(카드 정보 입력 전)</t>
        </is>
      </c>
      <c r="J75" s="12" t="inlineStr">
        <is>
          <t>1. 앱 스위처에서 강제 종료
2. 앱 재실행 후 주문 내역·쿠폰함·적립금 확인</t>
        </is>
      </c>
      <c r="K75" s="12" t="inlineStr">
        <is>
          <t>쿠폰 C1, 적립금 1,000원</t>
        </is>
      </c>
      <c r="L75" s="12" t="inlineStr">
        <is>
          <t>2. 결제되지 않은 주문이 결제대기로 남는지, 쿠폰·적립금이 반환되는지 기록한다(Q06). 반환되지 않고 재시도도 불가하면 결함</t>
        </is>
      </c>
      <c r="M75" s="6" t="inlineStr">
        <is>
          <t>Q06</t>
        </is>
      </c>
      <c r="N75" s="13" t="n"/>
      <c r="O75" s="14" t="n"/>
      <c r="P75" s="13" t="n"/>
      <c r="Q75" s="13" t="n"/>
      <c r="R75" s="13" t="n"/>
      <c r="S75" s="13" t="n"/>
      <c r="T75" s="12" t="n"/>
    </row>
    <row r="76" ht="34" customHeight="1">
      <c r="A76" s="6" t="inlineStr">
        <is>
          <t>TC-MOB-008</t>
        </is>
      </c>
      <c r="B76" s="6" t="inlineStr">
        <is>
          <t>모바일 특화</t>
        </is>
      </c>
      <c r="C76" s="6" t="inlineStr">
        <is>
          <t>스와이프 백</t>
        </is>
      </c>
      <c r="D76" s="6" t="inlineStr"/>
      <c r="E76" s="6" t="inlineStr">
        <is>
          <t>추가 검증</t>
        </is>
      </c>
      <c r="F76" s="6" t="inlineStr">
        <is>
          <t>비결제</t>
        </is>
      </c>
      <c r="G76" s="6" t="inlineStr">
        <is>
          <t>수동</t>
        </is>
      </c>
      <c r="H76" s="6" t="inlineStr">
        <is>
          <t>P3</t>
        </is>
      </c>
      <c r="I76" s="12" t="inlineStr">
        <is>
          <t>주문서 화면</t>
        </is>
      </c>
      <c r="J76" s="12" t="inlineStr">
        <is>
          <t>1. 화면 왼쪽 가장자리 스와이프로 뒤로가기</t>
        </is>
      </c>
      <c r="K76" s="12" t="inlineStr"/>
      <c r="L76" s="12" t="inlineStr">
        <is>
          <t>1. 장바구니로 복귀하고 이탈 확인 안내가 있다면 일관되게 표시된다</t>
        </is>
      </c>
      <c r="M76" s="6" t="inlineStr"/>
      <c r="N76" s="13" t="n"/>
      <c r="O76" s="14" t="n"/>
      <c r="P76" s="13" t="n"/>
      <c r="Q76" s="13" t="n"/>
      <c r="R76" s="13" t="n"/>
      <c r="S76" s="13" t="n"/>
      <c r="T76" s="12" t="n"/>
    </row>
    <row r="77" ht="49" customHeight="1">
      <c r="A77" s="6" t="inlineStr">
        <is>
          <t>TC-MOB-009</t>
        </is>
      </c>
      <c r="B77" s="6" t="inlineStr">
        <is>
          <t>모바일 특화</t>
        </is>
      </c>
      <c r="C77" s="6" t="inlineStr">
        <is>
          <t>키보드</t>
        </is>
      </c>
      <c r="D77" s="6" t="inlineStr"/>
      <c r="E77" s="6" t="inlineStr">
        <is>
          <t>추가 검증</t>
        </is>
      </c>
      <c r="F77" s="6" t="inlineStr">
        <is>
          <t>비결제</t>
        </is>
      </c>
      <c r="G77" s="6" t="inlineStr">
        <is>
          <t>수동</t>
        </is>
      </c>
      <c r="H77" s="6" t="inlineStr">
        <is>
          <t>P3</t>
        </is>
      </c>
      <c r="I77" s="12" t="inlineStr">
        <is>
          <t>주문서 적립금 입력</t>
        </is>
      </c>
      <c r="J77" s="12" t="inlineStr">
        <is>
          <t>1. 적립금 입력 필드 탭
2. 요청사항 입력 중 [결제하기] 버튼 위치 확인</t>
        </is>
      </c>
      <c r="K77" s="12" t="inlineStr"/>
      <c r="L77" s="12" t="inlineStr">
        <is>
          <t>1. 숫자 키패드가 표시된다
2. 키보드가 결제 버튼·금액 영역을 가리지 않거나 스크롤로 접근 가능하다</t>
        </is>
      </c>
      <c r="M77" s="6" t="inlineStr"/>
      <c r="N77" s="13" t="n"/>
      <c r="O77" s="14" t="n"/>
      <c r="P77" s="13" t="n"/>
      <c r="Q77" s="13" t="n"/>
      <c r="R77" s="13" t="n"/>
      <c r="S77" s="13" t="n"/>
      <c r="T77" s="12" t="n"/>
    </row>
    <row r="78" ht="34" customHeight="1">
      <c r="A78" s="6" t="inlineStr">
        <is>
          <t>TC-MOB-010</t>
        </is>
      </c>
      <c r="B78" s="6" t="inlineStr">
        <is>
          <t>모바일 특화</t>
        </is>
      </c>
      <c r="C78" s="6" t="inlineStr">
        <is>
          <t>알림 권한 거부</t>
        </is>
      </c>
      <c r="D78" s="6" t="inlineStr"/>
      <c r="E78" s="6" t="inlineStr">
        <is>
          <t>추가 검증</t>
        </is>
      </c>
      <c r="F78" s="6" t="inlineStr">
        <is>
          <t>실결제</t>
        </is>
      </c>
      <c r="G78" s="6" t="inlineStr">
        <is>
          <t>수동</t>
        </is>
      </c>
      <c r="H78" s="6" t="inlineStr">
        <is>
          <t>P3</t>
        </is>
      </c>
      <c r="I78" s="12" t="inlineStr">
        <is>
          <t>설정에서 무신사 알림 OFF, TC-CNL-001 주문 완료</t>
        </is>
      </c>
      <c r="J78" s="12" t="inlineStr">
        <is>
          <t>1. 주문 완료·취소 안내 수신 경로 확인</t>
        </is>
      </c>
      <c r="K78" s="12" t="inlineStr"/>
      <c r="L78" s="12" t="inlineStr">
        <is>
          <t>1. 푸시 없이도 앱 내 알림함·알림톡 등으로 주문·취소 안내가 확인된다</t>
        </is>
      </c>
      <c r="M78" s="6" t="inlineStr"/>
      <c r="N78" s="13" t="n"/>
      <c r="O78" s="14" t="n"/>
      <c r="P78" s="13" t="n"/>
      <c r="Q78" s="13" t="n"/>
      <c r="R78" s="13" t="n"/>
      <c r="S78" s="13" t="n"/>
      <c r="T78" s="12" t="n"/>
    </row>
    <row r="79" ht="49" customHeight="1">
      <c r="A79" s="6" t="inlineStr">
        <is>
          <t>TC-MOB-011</t>
        </is>
      </c>
      <c r="B79" s="6" t="inlineStr">
        <is>
          <t>모바일 특화</t>
        </is>
      </c>
      <c r="C79" s="6" t="inlineStr">
        <is>
          <t>앱 업데이트</t>
        </is>
      </c>
      <c r="D79" s="6" t="inlineStr"/>
      <c r="E79" s="6" t="inlineStr">
        <is>
          <t>추가 검증</t>
        </is>
      </c>
      <c r="F79" s="6" t="inlineStr">
        <is>
          <t>비결제</t>
        </is>
      </c>
      <c r="G79" s="6" t="inlineStr">
        <is>
          <t>수동</t>
        </is>
      </c>
      <c r="H79" s="6" t="inlineStr">
        <is>
          <t>P3</t>
        </is>
      </c>
      <c r="I79" s="12" t="inlineStr">
        <is>
          <t>App Store에 업데이트가 있는 구버전 상태, 장바구니에 상품 있음</t>
        </is>
      </c>
      <c r="J79" s="12" t="inlineStr">
        <is>
          <t>1. 앱 업데이트
2. 장바구니 확인</t>
        </is>
      </c>
      <c r="K79" s="12" t="inlineStr"/>
      <c r="L79" s="12" t="inlineStr">
        <is>
          <t>1~2. 로그인·장바구니가 유지된다</t>
        </is>
      </c>
      <c r="M79" s="6" t="inlineStr">
        <is>
          <t>Q08</t>
        </is>
      </c>
      <c r="N79" s="13" t="n"/>
      <c r="O79" s="14" t="n"/>
      <c r="P79" s="13" t="n"/>
      <c r="Q79" s="13" t="n"/>
      <c r="R79" s="13" t="n"/>
      <c r="S79" s="13" t="n"/>
      <c r="T79" s="12" t="n"/>
    </row>
    <row r="80" ht="64" customHeight="1">
      <c r="A80" s="6" t="inlineStr">
        <is>
          <t>TC-SEC-001</t>
        </is>
      </c>
      <c r="B80" s="6" t="inlineStr">
        <is>
          <t>보안·입력 검증</t>
        </is>
      </c>
      <c r="C80" s="6" t="inlineStr">
        <is>
          <t>쿠폰 등록</t>
        </is>
      </c>
      <c r="D80" s="6" t="inlineStr">
        <is>
          <t>REQ-07</t>
        </is>
      </c>
      <c r="E80" s="6" t="inlineStr">
        <is>
          <t>리스크 기반</t>
        </is>
      </c>
      <c r="F80" s="6" t="inlineStr">
        <is>
          <t>비결제</t>
        </is>
      </c>
      <c r="G80" s="6" t="inlineStr">
        <is>
          <t>API</t>
        </is>
      </c>
      <c r="H80" s="6" t="inlineStr">
        <is>
          <t>P2</t>
        </is>
      </c>
      <c r="I80" s="12" t="inlineStr">
        <is>
          <t>쿠폰 등록 화면</t>
        </is>
      </c>
      <c r="J80" s="12" t="inlineStr">
        <is>
          <t>1. 이미 사용한 쿠폰 번호 등록
2. 임의 문자열·SQL 메타문자(' OR 1=1) 등록
3. 만료 쿠폰 번호 등록</t>
        </is>
      </c>
      <c r="K80" s="12" t="inlineStr">
        <is>
          <t>사용 완료 번호, 임의 문자열</t>
        </is>
      </c>
      <c r="L80" s="12" t="inlineStr">
        <is>
          <t>1~3. 모두 거부되고 각각에 맞는 안내가 표시되며 오류 화면·크래시가 없다</t>
        </is>
      </c>
      <c r="M80" s="6" t="inlineStr"/>
      <c r="N80" s="13" t="n"/>
      <c r="O80" s="14" t="n"/>
      <c r="P80" s="13" t="n"/>
      <c r="Q80" s="13" t="n"/>
      <c r="R80" s="13" t="n"/>
      <c r="S80" s="13" t="n"/>
      <c r="T80" s="12" t="n"/>
    </row>
    <row r="81" ht="49" customHeight="1">
      <c r="A81" s="6" t="inlineStr">
        <is>
          <t>TC-SEC-002</t>
        </is>
      </c>
      <c r="B81" s="6" t="inlineStr">
        <is>
          <t>보안·입력 검증</t>
        </is>
      </c>
      <c r="C81" s="6" t="inlineStr">
        <is>
          <t>세션 만료</t>
        </is>
      </c>
      <c r="D81" s="6" t="inlineStr"/>
      <c r="E81" s="6" t="inlineStr">
        <is>
          <t>리스크 기반</t>
        </is>
      </c>
      <c r="F81" s="6" t="inlineStr">
        <is>
          <t>비결제</t>
        </is>
      </c>
      <c r="G81" s="6" t="inlineStr">
        <is>
          <t>API</t>
        </is>
      </c>
      <c r="H81" s="6" t="inlineStr">
        <is>
          <t>P2</t>
        </is>
      </c>
      <c r="I81" s="12" t="inlineStr">
        <is>
          <t>앱 주문서 진입 상태에서 웹으로 같은 계정 비밀번호 변경(또는 전체 기기 로그아웃)</t>
        </is>
      </c>
      <c r="J81" s="12" t="inlineStr">
        <is>
          <t>1. 앱에서 [결제하기]</t>
        </is>
      </c>
      <c r="K81" s="12" t="inlineStr"/>
      <c r="L81" s="12" t="inlineStr">
        <is>
          <t>1. 재로그인 요구가 표시되고 주문·결제가 생성되지 않는다</t>
        </is>
      </c>
      <c r="M81" s="6" t="inlineStr"/>
      <c r="N81" s="13" t="n"/>
      <c r="O81" s="14" t="n"/>
      <c r="P81" s="13" t="n"/>
      <c r="Q81" s="13" t="n"/>
      <c r="R81" s="13" t="n"/>
      <c r="S81" s="13" t="n"/>
      <c r="T81" s="12" t="n"/>
    </row>
    <row r="82" ht="64" customHeight="1">
      <c r="A82" s="6" t="inlineStr">
        <is>
          <t>TC-SEC-003</t>
        </is>
      </c>
      <c r="B82" s="6" t="inlineStr">
        <is>
          <t>보안·입력 검증</t>
        </is>
      </c>
      <c r="C82" s="6" t="inlineStr">
        <is>
          <t>적립금 입력 검증</t>
        </is>
      </c>
      <c r="D82" s="6" t="inlineStr">
        <is>
          <t>REQ-04</t>
        </is>
      </c>
      <c r="E82" s="6" t="inlineStr">
        <is>
          <t>리스크 기반</t>
        </is>
      </c>
      <c r="F82" s="6" t="inlineStr">
        <is>
          <t>비결제</t>
        </is>
      </c>
      <c r="G82" s="6" t="inlineStr">
        <is>
          <t>API</t>
        </is>
      </c>
      <c r="H82" s="6" t="inlineStr">
        <is>
          <t>P2</t>
        </is>
      </c>
      <c r="I82" s="12" t="inlineStr">
        <is>
          <t>적립금 5,000원 이상 보유</t>
        </is>
      </c>
      <c r="J82" s="12" t="inlineStr">
        <is>
          <t>1. '-100' 입력
2. 'abc', '1e3' 입력
3. 보유 금액 + 10원 입력
4. 12자리 숫자 입력</t>
        </is>
      </c>
      <c r="K82" s="12" t="inlineStr">
        <is>
          <t>-100 / abc / 보유+10 / 999999999999</t>
        </is>
      </c>
      <c r="L82" s="12" t="inlineStr">
        <is>
          <t>1~2. 입력이 거부되거나 0으로 처리된다
3. 보유 금액(또는 7% 한도)으로 보정된다
4. 자릿수 제한 또는 보정이 적용되고 UI가 깨지지 않는다</t>
        </is>
      </c>
      <c r="M82" s="6" t="inlineStr"/>
      <c r="N82" s="13" t="n"/>
      <c r="O82" s="14" t="n"/>
      <c r="P82" s="13" t="n"/>
      <c r="Q82" s="13" t="n"/>
      <c r="R82" s="13" t="n"/>
      <c r="S82" s="13" t="n"/>
      <c r="T82" s="12" t="n"/>
    </row>
    <row r="83" ht="49" customHeight="1">
      <c r="A83" s="6" t="inlineStr">
        <is>
          <t>TC-SEC-004</t>
        </is>
      </c>
      <c r="B83" s="6" t="inlineStr">
        <is>
          <t>보안·입력 검증</t>
        </is>
      </c>
      <c r="C83" s="6" t="inlineStr">
        <is>
          <t>민감 정보 표시</t>
        </is>
      </c>
      <c r="D83" s="6" t="inlineStr"/>
      <c r="E83" s="6" t="inlineStr">
        <is>
          <t>추가 검증</t>
        </is>
      </c>
      <c r="F83" s="6" t="inlineStr">
        <is>
          <t>비결제</t>
        </is>
      </c>
      <c r="G83" s="6" t="inlineStr">
        <is>
          <t>수동</t>
        </is>
      </c>
      <c r="H83" s="6" t="inlineStr">
        <is>
          <t>P3</t>
        </is>
      </c>
      <c r="I83" s="12" t="inlineStr">
        <is>
          <t>무신사페이 카드 등록 상태</t>
        </is>
      </c>
      <c r="J83" s="12" t="inlineStr">
        <is>
          <t>1. 주문서 결제수단에서 카드 정보 표시 확인
2. 앱 스위처(백그라운드) 스냅샷 확인</t>
        </is>
      </c>
      <c r="K83" s="12" t="inlineStr"/>
      <c r="L83" s="12" t="inlineStr">
        <is>
          <t>1. 카드번호가 마스킹된다
2. 스냅샷에서 결제 정보가 가려지거나 노출 범위가 마스킹된 수준이다(현재 동작 기록)</t>
        </is>
      </c>
      <c r="M83" s="6" t="inlineStr"/>
      <c r="N83" s="13" t="n"/>
      <c r="O83" s="14" t="n"/>
      <c r="P83" s="13" t="n"/>
      <c r="Q83" s="13" t="n"/>
      <c r="R83" s="13" t="n"/>
      <c r="S83" s="13" t="n"/>
      <c r="T83" s="12" t="n"/>
    </row>
    <row r="84" ht="34" customHeight="1">
      <c r="A84" s="6" t="inlineStr">
        <is>
          <t>TC-SEC-005</t>
        </is>
      </c>
      <c r="B84" s="6" t="inlineStr">
        <is>
          <t>보안·입력 검증</t>
        </is>
      </c>
      <c r="C84" s="6" t="inlineStr">
        <is>
          <t>결제 실패 처리</t>
        </is>
      </c>
      <c r="D84" s="6" t="inlineStr">
        <is>
          <t>REQ-01</t>
        </is>
      </c>
      <c r="E84" s="6" t="inlineStr">
        <is>
          <t>추가 검증</t>
        </is>
      </c>
      <c r="F84" s="6" t="inlineStr">
        <is>
          <t>실결제</t>
        </is>
      </c>
      <c r="G84" s="6" t="inlineStr">
        <is>
          <t>API</t>
        </is>
      </c>
      <c r="H84" s="6" t="inlineStr">
        <is>
          <t>P3</t>
        </is>
      </c>
      <c r="I84" s="12" t="inlineStr">
        <is>
          <t>한도 초과 또는 잔액 없는 체크카드를 무신사페이에 등록</t>
        </is>
      </c>
      <c r="J84" s="12" t="inlineStr">
        <is>
          <t>1. 소액 결제 시도</t>
        </is>
      </c>
      <c r="K84" s="12" t="inlineStr">
        <is>
          <t>잔액 없는 체크카드</t>
        </is>
      </c>
      <c r="L84" s="12" t="inlineStr">
        <is>
          <t>1. 실패 원인 안내가 표시되고 주문이 결제완료로 남지 않으며 쿠폰·적립금이 반환된다</t>
        </is>
      </c>
      <c r="M84" s="6" t="inlineStr">
        <is>
          <t>Q06</t>
        </is>
      </c>
      <c r="N84" s="13" t="n"/>
      <c r="O84" s="14" t="n"/>
      <c r="P84" s="13" t="n"/>
      <c r="Q84" s="13" t="n"/>
      <c r="R84" s="13" t="n"/>
      <c r="S84" s="13" t="n"/>
      <c r="T84" s="12" t="n"/>
    </row>
    <row r="85" ht="49" customHeight="1">
      <c r="A85" s="6" t="inlineStr">
        <is>
          <t>TC-SEC-006</t>
        </is>
      </c>
      <c r="B85" s="6" t="inlineStr">
        <is>
          <t>보안·입력 검증</t>
        </is>
      </c>
      <c r="C85" s="6" t="inlineStr">
        <is>
          <t>재고 경합</t>
        </is>
      </c>
      <c r="D85" s="6" t="inlineStr">
        <is>
          <t>REQ-10</t>
        </is>
      </c>
      <c r="E85" s="6" t="inlineStr">
        <is>
          <t>리스크 기반</t>
        </is>
      </c>
      <c r="F85" s="6" t="inlineStr">
        <is>
          <t>실결제</t>
        </is>
      </c>
      <c r="G85" s="6" t="inlineStr">
        <is>
          <t>API</t>
        </is>
      </c>
      <c r="H85" s="6" t="inlineStr">
        <is>
          <t>P3</t>
        </is>
      </c>
      <c r="I85" s="12" t="inlineStr">
        <is>
          <t>재고 1인 소액 옵션, 앱과 웹(보조 계정)에서 각각 주문서 진입</t>
        </is>
      </c>
      <c r="J85" s="12" t="inlineStr">
        <is>
          <t>1. 두 쪽에서 거의 동시에 결제</t>
        </is>
      </c>
      <c r="K85" s="12" t="inlineStr">
        <is>
          <t>재고 1 옵션</t>
        </is>
      </c>
      <c r="L85" s="12" t="inlineStr">
        <is>
          <t>1. 한쪽만 결제 완료되고 다른 쪽은 품절 안내와 함께 결제되지 않는다(또는 자동 취소)
※ 완료된 주문은 즉시 취소</t>
        </is>
      </c>
      <c r="M85" s="6" t="inlineStr">
        <is>
          <t>Q05</t>
        </is>
      </c>
      <c r="N85" s="13" t="n"/>
      <c r="O85" s="14" t="n"/>
      <c r="P85" s="13" t="n"/>
      <c r="Q85" s="13" t="n"/>
      <c r="R85" s="13" t="n"/>
      <c r="S85" s="13" t="n"/>
      <c r="T85" s="12" t="n"/>
    </row>
    <row r="86" ht="64" customHeight="1">
      <c r="A86" s="6" t="inlineStr">
        <is>
          <t>TC-CMP-001</t>
        </is>
      </c>
      <c r="B86" s="6" t="inlineStr">
        <is>
          <t>호환성·접근성</t>
        </is>
      </c>
      <c r="C86" s="6" t="inlineStr">
        <is>
          <t>iOS 버전</t>
        </is>
      </c>
      <c r="D86" s="6" t="inlineStr"/>
      <c r="E86" s="6" t="inlineStr">
        <is>
          <t>추가 검증</t>
        </is>
      </c>
      <c r="F86" s="6" t="inlineStr">
        <is>
          <t>비결제</t>
        </is>
      </c>
      <c r="G86" s="6" t="inlineStr">
        <is>
          <t>UI</t>
        </is>
      </c>
      <c r="H86" s="6" t="inlineStr">
        <is>
          <t>P2</t>
        </is>
      </c>
      <c r="I86" s="12" t="inlineStr">
        <is>
          <t>보유 기기 iOS 26.5 기준 수행. 직전 메이저(iOS 25.x) 기기는 확보 시 추가, 미확보 시 N/A 처리하고 보고서에 명시</t>
        </is>
      </c>
      <c r="J86" s="12" t="inlineStr">
        <is>
          <t>1. 장바구니 → 주문서 → PG 진입 전까지 스모크 수행</t>
        </is>
      </c>
      <c r="K86" s="12" t="inlineStr"/>
      <c r="L86" s="12" t="inlineStr">
        <is>
          <t>1. 두 버전에서 동일하게 동작하고 레이아웃 차이가 없다</t>
        </is>
      </c>
      <c r="M86" s="6" t="inlineStr"/>
      <c r="N86" s="13" t="n"/>
      <c r="O86" s="14" t="n"/>
      <c r="P86" s="13" t="n"/>
      <c r="Q86" s="13" t="n"/>
      <c r="R86" s="13" t="n"/>
      <c r="S86" s="13" t="n"/>
      <c r="T86" s="12" t="n"/>
    </row>
    <row r="87" ht="49" customHeight="1">
      <c r="A87" s="6" t="inlineStr">
        <is>
          <t>TC-CMP-002</t>
        </is>
      </c>
      <c r="B87" s="6" t="inlineStr">
        <is>
          <t>호환성·접근성</t>
        </is>
      </c>
      <c r="C87" s="6" t="inlineStr">
        <is>
          <t>화면 크기</t>
        </is>
      </c>
      <c r="D87" s="6" t="inlineStr"/>
      <c r="E87" s="6" t="inlineStr">
        <is>
          <t>추가 검증</t>
        </is>
      </c>
      <c r="F87" s="6" t="inlineStr">
        <is>
          <t>비결제</t>
        </is>
      </c>
      <c r="G87" s="6" t="inlineStr">
        <is>
          <t>UI</t>
        </is>
      </c>
      <c r="H87" s="6" t="inlineStr">
        <is>
          <t>P2</t>
        </is>
      </c>
      <c r="I87" s="12" t="inlineStr">
        <is>
          <t>소형(iPhone SE/mini) 및 대형(Pro Max) 기기 또는 보유 기기 1종</t>
        </is>
      </c>
      <c r="J87" s="12" t="inlineStr">
        <is>
          <t>1. 주문서 하단 결제 버튼·금액 영역 확인
2. 결제수단 목록 스크롤</t>
        </is>
      </c>
      <c r="K87" s="12" t="inlineStr"/>
      <c r="L87" s="12" t="inlineStr">
        <is>
          <t>1. 결제 버튼이 항상 노출되고 금액이 잘리지 않는다
2. 모든 결제수단에 접근 가능하다</t>
        </is>
      </c>
      <c r="M87" s="6" t="inlineStr"/>
      <c r="N87" s="13" t="n"/>
      <c r="O87" s="14" t="n"/>
      <c r="P87" s="13" t="n"/>
      <c r="Q87" s="13" t="n"/>
      <c r="R87" s="13" t="n"/>
      <c r="S87" s="13" t="n"/>
      <c r="T87" s="12" t="n"/>
    </row>
    <row r="88" ht="34" customHeight="1">
      <c r="A88" s="6" t="inlineStr">
        <is>
          <t>TC-CMP-003</t>
        </is>
      </c>
      <c r="B88" s="6" t="inlineStr">
        <is>
          <t>호환성·접근성</t>
        </is>
      </c>
      <c r="C88" s="6" t="inlineStr">
        <is>
          <t>다이나믹 타입</t>
        </is>
      </c>
      <c r="D88" s="6" t="inlineStr"/>
      <c r="E88" s="6" t="inlineStr">
        <is>
          <t>추가 검증</t>
        </is>
      </c>
      <c r="F88" s="6" t="inlineStr">
        <is>
          <t>비결제</t>
        </is>
      </c>
      <c r="G88" s="6" t="inlineStr">
        <is>
          <t>수동</t>
        </is>
      </c>
      <c r="H88" s="6" t="inlineStr">
        <is>
          <t>P2</t>
        </is>
      </c>
      <c r="I88" s="12" t="inlineStr">
        <is>
          <t>설정 &gt; 손쉬운 사용 &gt; 더 큰 텍스트 최대</t>
        </is>
      </c>
      <c r="J88" s="12" t="inlineStr">
        <is>
          <t>1. 장바구니·주문서 진입</t>
        </is>
      </c>
      <c r="K88" s="12" t="inlineStr"/>
      <c r="L88" s="12" t="inlineStr">
        <is>
          <t>1. 금액·버튼 텍스트가 잘리거나 겹치지 않고 결제 버튼이 접근 가능하다</t>
        </is>
      </c>
      <c r="M88" s="6" t="inlineStr"/>
      <c r="N88" s="13" t="n"/>
      <c r="O88" s="14" t="n"/>
      <c r="P88" s="13" t="n"/>
      <c r="Q88" s="13" t="n"/>
      <c r="R88" s="13" t="n"/>
      <c r="S88" s="13" t="n"/>
      <c r="T88" s="12" t="n"/>
    </row>
    <row r="89" ht="49" customHeight="1">
      <c r="A89" s="6" t="inlineStr">
        <is>
          <t>TC-CMP-004</t>
        </is>
      </c>
      <c r="B89" s="6" t="inlineStr">
        <is>
          <t>호환성·접근성</t>
        </is>
      </c>
      <c r="C89" s="6" t="inlineStr">
        <is>
          <t>VoiceOver</t>
        </is>
      </c>
      <c r="D89" s="6" t="inlineStr"/>
      <c r="E89" s="6" t="inlineStr">
        <is>
          <t>추가 검증</t>
        </is>
      </c>
      <c r="F89" s="6" t="inlineStr">
        <is>
          <t>비결제</t>
        </is>
      </c>
      <c r="G89" s="6" t="inlineStr">
        <is>
          <t>수동</t>
        </is>
      </c>
      <c r="H89" s="6" t="inlineStr">
        <is>
          <t>P3</t>
        </is>
      </c>
      <c r="I89" s="12" t="inlineStr">
        <is>
          <t>VoiceOver ON</t>
        </is>
      </c>
      <c r="J89" s="12" t="inlineStr">
        <is>
          <t>1. 장바구니에서 수량 변경·선택
2. 주문서에서 쿠폰 선택·적립금 입력·결제 버튼 포커스</t>
        </is>
      </c>
      <c r="K89" s="12" t="inlineStr"/>
      <c r="L89" s="12" t="inlineStr">
        <is>
          <t>1~2. 모든 컨트롤에 레이블이 읽히고 순서대로 포커스 이동이 가능하다</t>
        </is>
      </c>
      <c r="M89" s="6" t="inlineStr"/>
      <c r="N89" s="13" t="n"/>
      <c r="O89" s="14" t="n"/>
      <c r="P89" s="13" t="n"/>
      <c r="Q89" s="13" t="n"/>
      <c r="R89" s="13" t="n"/>
      <c r="S89" s="13" t="n"/>
      <c r="T89" s="12" t="n"/>
    </row>
    <row r="90" ht="34" customHeight="1">
      <c r="A90" s="6" t="inlineStr">
        <is>
          <t>TC-CMP-005</t>
        </is>
      </c>
      <c r="B90" s="6" t="inlineStr">
        <is>
          <t>호환성·접근성</t>
        </is>
      </c>
      <c r="C90" s="6" t="inlineStr">
        <is>
          <t>다크 모드</t>
        </is>
      </c>
      <c r="D90" s="6" t="inlineStr"/>
      <c r="E90" s="6" t="inlineStr">
        <is>
          <t>추가 검증</t>
        </is>
      </c>
      <c r="F90" s="6" t="inlineStr">
        <is>
          <t>비결제</t>
        </is>
      </c>
      <c r="G90" s="6" t="inlineStr">
        <is>
          <t>수동</t>
        </is>
      </c>
      <c r="H90" s="6" t="inlineStr">
        <is>
          <t>P3</t>
        </is>
      </c>
      <c r="I90" s="12" t="inlineStr">
        <is>
          <t>시스템 다크 모드 ON</t>
        </is>
      </c>
      <c r="J90" s="12" t="inlineStr">
        <is>
          <t>1. 장바구니·주문서 확인</t>
        </is>
      </c>
      <c r="K90" s="12" t="inlineStr"/>
      <c r="L90" s="12" t="inlineStr">
        <is>
          <t>1. 할인 금액·안내 문구의 대비가 충분하고 흰 배경 잔존 영역이 없다</t>
        </is>
      </c>
      <c r="M90" s="6" t="inlineStr"/>
      <c r="N90" s="13" t="n"/>
      <c r="O90" s="14" t="n"/>
      <c r="P90" s="13" t="n"/>
      <c r="Q90" s="13" t="n"/>
      <c r="R90" s="13" t="n"/>
      <c r="S90" s="13" t="n"/>
      <c r="T90" s="12" t="n"/>
    </row>
    <row r="91" ht="34" customHeight="1">
      <c r="A91" s="6" t="inlineStr">
        <is>
          <t>TC-CMP-006</t>
        </is>
      </c>
      <c r="B91" s="6" t="inlineStr">
        <is>
          <t>호환성·접근성</t>
        </is>
      </c>
      <c r="C91" s="6" t="inlineStr">
        <is>
          <t>시스템 언어</t>
        </is>
      </c>
      <c r="D91" s="6" t="inlineStr"/>
      <c r="E91" s="6" t="inlineStr">
        <is>
          <t>추가 검증</t>
        </is>
      </c>
      <c r="F91" s="6" t="inlineStr">
        <is>
          <t>비결제</t>
        </is>
      </c>
      <c r="G91" s="6" t="inlineStr">
        <is>
          <t>수동</t>
        </is>
      </c>
      <c r="H91" s="6" t="inlineStr">
        <is>
          <t>P3</t>
        </is>
      </c>
      <c r="I91" s="12" t="inlineStr">
        <is>
          <t>iOS 언어 English, 지역 미국</t>
        </is>
      </c>
      <c r="J91" s="12" t="inlineStr">
        <is>
          <t>1. 주문서 금액·날짜 표기 확인</t>
        </is>
      </c>
      <c r="K91" s="12" t="inlineStr"/>
      <c r="L91" s="12" t="inlineStr">
        <is>
          <t>1. 통화는 원화(₩/원)로 유지되고 도착 예정일 형식이 깨지지 않는다</t>
        </is>
      </c>
      <c r="M91" s="6" t="inlineStr"/>
      <c r="N91" s="13" t="n"/>
      <c r="O91" s="14" t="n"/>
      <c r="P91" s="13" t="n"/>
      <c r="Q91" s="13" t="n"/>
      <c r="R91" s="13" t="n"/>
      <c r="S91" s="13" t="n"/>
      <c r="T91" s="12" t="n"/>
    </row>
  </sheetData>
  <autoFilter ref="A1:T91"/>
  <conditionalFormatting sqref="N2:N9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5">
    <dataValidation sqref="N2:N91" showDropDown="0" showInputMessage="0" showErrorMessage="0" allowBlank="1" type="list">
      <formula1>"Pass,Fail,Blocked,N/A"</formula1>
    </dataValidation>
    <dataValidation sqref="H2:H91" showDropDown="0" showInputMessage="0" showErrorMessage="0" allowBlank="1" type="list">
      <formula1>"P1,P2,P3"</formula1>
    </dataValidation>
    <dataValidation sqref="E2:E91" showDropDown="0" showInputMessage="0" showErrorMessage="0" allowBlank="1" type="list">
      <formula1>"요구사항,리스크 기반,추가 검증"</formula1>
    </dataValidation>
    <dataValidation sqref="F2:F91" showDropDown="0" showInputMessage="0" showErrorMessage="0" allowBlank="1" type="list">
      <formula1>"비결제,실결제,장기"</formula1>
    </dataValidation>
    <dataValidation sqref="G2:G91" showDropDown="0" showInputMessage="0" showErrorMessage="0" allowBlank="1" type="list">
      <formula1>"API,UI,수동"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48" customWidth="1" min="4" max="4"/>
    <col width="30" customWidth="1" min="5" max="5"/>
    <col width="10" customWidth="1" min="6" max="6"/>
    <col width="40" customWidth="1" min="7" max="7"/>
  </cols>
  <sheetData>
    <row r="1">
      <c r="A1" s="5" t="inlineStr">
        <is>
          <t>구분</t>
        </is>
      </c>
      <c r="B1" s="5" t="inlineStr">
        <is>
          <t>ID</t>
        </is>
      </c>
      <c r="C1" s="5" t="inlineStr">
        <is>
          <t>이름</t>
        </is>
      </c>
      <c r="D1" s="5" t="inlineStr">
        <is>
          <t>조건</t>
        </is>
      </c>
      <c r="E1" s="5" t="inlineStr">
        <is>
          <t>사용 TC</t>
        </is>
      </c>
      <c r="F1" s="5" t="inlineStr">
        <is>
          <t>준비 완료</t>
        </is>
      </c>
      <c r="G1" s="5" t="inlineStr">
        <is>
          <t>실제 값(상품명·쿠폰명 등)</t>
        </is>
      </c>
    </row>
    <row r="2" ht="32" customHeight="1">
      <c r="A2" s="6" t="inlineStr">
        <is>
          <t>계정</t>
        </is>
      </c>
      <c r="B2" s="6" t="inlineStr">
        <is>
          <t>M1</t>
        </is>
      </c>
      <c r="C2" s="12" t="inlineStr">
        <is>
          <t>메인 테스트 계정</t>
        </is>
      </c>
      <c r="D2" s="12" t="inlineStr">
        <is>
          <t>등급 할인 대상(실버 이상), 적립금 1만 원 이상, 등급 쿠폰 보유, 무신사페이 등록, 배송지 2개</t>
        </is>
      </c>
      <c r="E2" s="12" t="inlineStr">
        <is>
          <t>대부분의 TC</t>
        </is>
      </c>
      <c r="F2" s="13" t="n"/>
      <c r="G2" s="14" t="n"/>
    </row>
    <row r="3" ht="32" customHeight="1">
      <c r="A3" s="6" t="inlineStr">
        <is>
          <t>계정</t>
        </is>
      </c>
      <c r="B3" s="6" t="inlineStr">
        <is>
          <t>M2</t>
        </is>
      </c>
      <c r="C3" s="12" t="inlineStr">
        <is>
          <t>적립금 미달 계정</t>
        </is>
      </c>
      <c r="D3" s="12" t="inlineStr">
        <is>
          <t>적립금 4,990원 이하(또는 메인 계정에서 적립금 사용 주문을 결제완료 상태로 둔 뒤 잔액 &lt;5,000 상태 이용)</t>
        </is>
      </c>
      <c r="E3" s="12" t="inlineStr">
        <is>
          <t>TC-PNT-001</t>
        </is>
      </c>
      <c r="F3" s="13" t="n"/>
      <c r="G3" s="14" t="n"/>
    </row>
    <row r="4" ht="32" customHeight="1">
      <c r="A4" s="6" t="inlineStr">
        <is>
          <t>계정</t>
        </is>
      </c>
      <c r="B4" s="6" t="inlineStr">
        <is>
          <t>M3</t>
        </is>
      </c>
      <c r="C4" s="12" t="inlineStr">
        <is>
          <t>신규 가입 계정</t>
        </is>
      </c>
      <c r="D4" s="12" t="inlineStr">
        <is>
          <t>가입 쿠폰 20%, 가입 적립금 5,000원, 365일 무료배송</t>
        </is>
      </c>
      <c r="E4" s="12" t="inlineStr">
        <is>
          <t>TC-CPN-010, TC-PNT-010, TC-SHP-006</t>
        </is>
      </c>
      <c r="F4" s="13" t="n"/>
      <c r="G4" s="14" t="n"/>
    </row>
    <row r="5" ht="32" customHeight="1">
      <c r="A5" s="6" t="inlineStr">
        <is>
          <t>계정</t>
        </is>
      </c>
      <c r="B5" s="6" t="inlineStr">
        <is>
          <t>M4</t>
        </is>
      </c>
      <c r="C5" s="12" t="inlineStr">
        <is>
          <t>보조 계정(웹)</t>
        </is>
      </c>
      <c r="D5" s="12" t="inlineStr">
        <is>
          <t>재고 경합·품절 유도용</t>
        </is>
      </c>
      <c r="E5" s="12" t="inlineStr">
        <is>
          <t>TC-CART-005, TC-ORD-004, TC-SEC-006</t>
        </is>
      </c>
      <c r="F5" s="13" t="n"/>
      <c r="G5" s="14" t="n"/>
    </row>
    <row r="6" ht="32" customHeight="1">
      <c r="A6" s="6" t="inlineStr">
        <is>
          <t>상품</t>
        </is>
      </c>
      <c r="B6" s="6" t="inlineStr">
        <is>
          <t>P1</t>
        </is>
      </c>
      <c r="C6" s="12" t="inlineStr">
        <is>
          <t>일반 배송 상품</t>
        </is>
      </c>
      <c r="D6" s="12" t="inlineStr">
        <is>
          <t>쿠폰·적립금 사용 가능, 재고 충분. 7% 경계용으로 합계 정확히 100,000원이 되는 구성 1세트 별도 준비</t>
        </is>
      </c>
      <c r="E6" s="12" t="inlineStr">
        <is>
          <t>기본, TC-PNT-003</t>
        </is>
      </c>
      <c r="F6" s="13" t="n"/>
      <c r="G6" s="14" t="n"/>
    </row>
    <row r="7" ht="32" customHeight="1">
      <c r="A7" s="6" t="inlineStr">
        <is>
          <t>상품</t>
        </is>
      </c>
      <c r="B7" s="6" t="inlineStr">
        <is>
          <t>P2~P4</t>
        </is>
      </c>
      <c r="C7" s="12" t="inlineStr">
        <is>
          <t>일반 상품</t>
        </is>
      </c>
      <c r="D7" s="12" t="inlineStr">
        <is>
          <t>서로 다른 브랜드</t>
        </is>
      </c>
      <c r="E7" s="12" t="inlineStr">
        <is>
          <t>장바구니 복수 상품</t>
        </is>
      </c>
      <c r="F7" s="13" t="n"/>
      <c r="G7" s="14" t="n"/>
    </row>
    <row r="8" ht="32" customHeight="1">
      <c r="A8" s="6" t="inlineStr">
        <is>
          <t>상품</t>
        </is>
      </c>
      <c r="B8" s="6" t="inlineStr">
        <is>
          <t>P5</t>
        </is>
      </c>
      <c r="C8" s="12" t="inlineStr">
        <is>
          <t>유료 배송 브랜드 상품</t>
        </is>
      </c>
      <c r="D8" s="12" t="inlineStr">
        <is>
          <t>배송비 3,000원, 도서산간 추가비 있음</t>
        </is>
      </c>
      <c r="E8" s="12" t="inlineStr">
        <is>
          <t>배송비 TC</t>
        </is>
      </c>
      <c r="F8" s="13" t="n"/>
      <c r="G8" s="14" t="n"/>
    </row>
    <row r="9" ht="32" customHeight="1">
      <c r="A9" s="6" t="inlineStr">
        <is>
          <t>상품</t>
        </is>
      </c>
      <c r="B9" s="6" t="inlineStr">
        <is>
          <t>P6</t>
        </is>
      </c>
      <c r="C9" s="12" t="inlineStr">
        <is>
          <t>적립금 사용 불가 상품</t>
        </is>
      </c>
      <c r="D9" s="12" t="inlineStr">
        <is>
          <t>주문서에 적립금 불가 표기</t>
        </is>
      </c>
      <c r="E9" s="12" t="inlineStr">
        <is>
          <t>TC-PNT-006, TC-ORD-005</t>
        </is>
      </c>
      <c r="F9" s="13" t="n"/>
      <c r="G9" s="14" t="n"/>
    </row>
    <row r="10" ht="32" customHeight="1">
      <c r="A10" s="6" t="inlineStr">
        <is>
          <t>상품</t>
        </is>
      </c>
      <c r="B10" s="6" t="inlineStr">
        <is>
          <t>P7</t>
        </is>
      </c>
      <c r="C10" s="12" t="inlineStr">
        <is>
          <t>쿠폰 사용 제한 상품</t>
        </is>
      </c>
      <c r="D10" s="12" t="inlineStr">
        <is>
          <t>상세에 쿠폰 적용 불가 표기</t>
        </is>
      </c>
      <c r="E10" s="12" t="inlineStr">
        <is>
          <t>TC-CPN-001/002</t>
        </is>
      </c>
      <c r="F10" s="13" t="n"/>
      <c r="G10" s="14" t="n"/>
    </row>
    <row r="11" ht="32" customHeight="1">
      <c r="A11" s="6" t="inlineStr">
        <is>
          <t>상품</t>
        </is>
      </c>
      <c r="B11" s="6" t="inlineStr">
        <is>
          <t>P8</t>
        </is>
      </c>
      <c r="C11" s="12" t="inlineStr">
        <is>
          <t>품절 임박 옵션</t>
        </is>
      </c>
      <c r="D11" s="12" t="inlineStr">
        <is>
          <t>재고 1~2</t>
        </is>
      </c>
      <c r="E11" s="12" t="inlineStr">
        <is>
          <t>품절·경합 TC</t>
        </is>
      </c>
      <c r="F11" s="13" t="n"/>
      <c r="G11" s="14" t="n"/>
    </row>
    <row r="12" ht="32" customHeight="1">
      <c r="A12" s="6" t="inlineStr">
        <is>
          <t>상품</t>
        </is>
      </c>
      <c r="B12" s="6" t="inlineStr">
        <is>
          <t>P9</t>
        </is>
      </c>
      <c r="C12" s="12" t="inlineStr">
        <is>
          <t>소액 상품</t>
        </is>
      </c>
      <c r="D12" s="12" t="inlineStr">
        <is>
          <t>1만 원 이하, 즉시 취소 가능 브랜드</t>
        </is>
      </c>
      <c r="E12" s="12" t="inlineStr">
        <is>
          <t>실결제 TC</t>
        </is>
      </c>
      <c r="F12" s="13" t="n"/>
      <c r="G12" s="14" t="n"/>
    </row>
    <row r="13" ht="32" customHeight="1">
      <c r="A13" s="6" t="inlineStr">
        <is>
          <t>상품</t>
        </is>
      </c>
      <c r="B13" s="6" t="inlineStr">
        <is>
          <t>P10</t>
        </is>
      </c>
      <c r="C13" s="12" t="inlineStr">
        <is>
          <t>일반/무배당발 옵션 공존 상품</t>
        </is>
      </c>
      <c r="D13" s="12" t="inlineStr"/>
      <c r="E13" s="12" t="inlineStr">
        <is>
          <t>TC-CART-008</t>
        </is>
      </c>
      <c r="F13" s="13" t="n"/>
      <c r="G13" s="14" t="n"/>
    </row>
    <row r="14" ht="32" customHeight="1">
      <c r="A14" s="6" t="inlineStr">
        <is>
          <t>쿠폰</t>
        </is>
      </c>
      <c r="B14" s="6" t="inlineStr">
        <is>
          <t>C1</t>
        </is>
      </c>
      <c r="C14" s="12" t="inlineStr">
        <is>
          <t>등급 쿠폰(월 쿠폰팩, 정률 10% 가정)</t>
        </is>
      </c>
      <c r="D14" s="12" t="inlineStr">
        <is>
          <t>실제 할인율·최소 주문 금액·최대 할인·적용 범위는 쿠폰함에서 확인해 '실제 값'에 기록</t>
        </is>
      </c>
      <c r="E14" s="12" t="inlineStr">
        <is>
          <t>기본</t>
        </is>
      </c>
      <c r="F14" s="13" t="n"/>
      <c r="G14" s="14" t="n"/>
    </row>
    <row r="15" ht="32" customHeight="1">
      <c r="A15" s="6" t="inlineStr">
        <is>
          <t>쿠폰</t>
        </is>
      </c>
      <c r="B15" s="6" t="inlineStr">
        <is>
          <t>C2</t>
        </is>
      </c>
      <c r="C15" s="12" t="inlineStr">
        <is>
          <t>최소 주문 금액 쿠폰</t>
        </is>
      </c>
      <c r="D15" s="12" t="inlineStr">
        <is>
          <t>예: 3만 원 이상</t>
        </is>
      </c>
      <c r="E15" s="12" t="inlineStr">
        <is>
          <t>TC-CPN-003</t>
        </is>
      </c>
      <c r="F15" s="13" t="n"/>
      <c r="G15" s="14" t="n"/>
    </row>
    <row r="16" ht="32" customHeight="1">
      <c r="A16" s="6" t="inlineStr">
        <is>
          <t>쿠폰</t>
        </is>
      </c>
      <c r="B16" s="6" t="inlineStr">
        <is>
          <t>C3</t>
        </is>
      </c>
      <c r="C16" s="12" t="inlineStr">
        <is>
          <t>최대 할인 한도 쿠폰</t>
        </is>
      </c>
      <c r="D16" s="12" t="inlineStr">
        <is>
          <t>예: 20%, 최대 1만 원</t>
        </is>
      </c>
      <c r="E16" s="12" t="inlineStr">
        <is>
          <t>TC-CPN-004</t>
        </is>
      </c>
      <c r="F16" s="13" t="n"/>
      <c r="G16" s="14" t="n"/>
    </row>
    <row r="17" ht="32" customHeight="1">
      <c r="A17" s="6" t="inlineStr">
        <is>
          <t>쿠폰</t>
        </is>
      </c>
      <c r="B17" s="6" t="inlineStr">
        <is>
          <t>C4</t>
        </is>
      </c>
      <c r="C17" s="12" t="inlineStr">
        <is>
          <t>브랜드 쿠폰</t>
        </is>
      </c>
      <c r="D17" s="12" t="inlineStr">
        <is>
          <t>P1 브랜드 대상</t>
        </is>
      </c>
      <c r="E17" s="12" t="inlineStr">
        <is>
          <t>TC-CPN-005</t>
        </is>
      </c>
      <c r="F17" s="13" t="n"/>
      <c r="G17" s="14" t="n"/>
    </row>
    <row r="18" ht="32" customHeight="1">
      <c r="A18" s="6" t="inlineStr">
        <is>
          <t>쿠폰</t>
        </is>
      </c>
      <c r="B18" s="6" t="inlineStr">
        <is>
          <t>C5</t>
        </is>
      </c>
      <c r="C18" s="12" t="inlineStr">
        <is>
          <t>당일 만료 쿠폰</t>
        </is>
      </c>
      <c r="D18" s="12" t="inlineStr">
        <is>
          <t>23:59 만료</t>
        </is>
      </c>
      <c r="E18" s="12" t="inlineStr">
        <is>
          <t>TC-CPN-008</t>
        </is>
      </c>
      <c r="F18" s="13" t="n"/>
      <c r="G18" s="14" t="n"/>
    </row>
    <row r="20">
      <c r="A20" s="10" t="inlineStr">
        <is>
          <t>※ 금액·조건은 예시. 실제 쿠폰 조건과 브랜드 배송 정책은 수행 시점에 확인해 '실제 값'에 기록</t>
        </is>
      </c>
    </row>
  </sheetData>
  <dataValidations count="1">
    <dataValidation sqref="F2:F1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5" customWidth="1" min="2" max="2"/>
    <col width="22" customWidth="1" min="3" max="3"/>
    <col width="40" customWidth="1" min="4" max="4"/>
    <col width="10" customWidth="1" min="5" max="5"/>
    <col width="34" customWidth="1" min="6" max="6"/>
    <col width="45" customWidth="1" min="7" max="7"/>
    <col width="11" customWidth="1" min="8" max="8"/>
  </cols>
  <sheetData>
    <row r="1">
      <c r="A1" s="5" t="inlineStr">
        <is>
          <t>ID</t>
        </is>
      </c>
      <c r="B1" s="5" t="inlineStr">
        <is>
          <t>질의</t>
        </is>
      </c>
      <c r="C1" s="5" t="inlineStr">
        <is>
          <t>영향</t>
        </is>
      </c>
      <c r="D1" s="5" t="inlineStr">
        <is>
          <t>회신 전 처리</t>
        </is>
      </c>
      <c r="E1" s="5" t="inlineStr">
        <is>
          <t>영향 TC 수</t>
        </is>
      </c>
      <c r="F1" s="5" t="inlineStr">
        <is>
          <t>영향 TC</t>
        </is>
      </c>
      <c r="G1" s="5" t="inlineStr">
        <is>
          <t>확인 결과(앱 동작)</t>
        </is>
      </c>
      <c r="H1" s="5" t="inlineStr">
        <is>
          <t>확인일</t>
        </is>
      </c>
    </row>
    <row r="2" ht="62" customHeight="1">
      <c r="A2" s="6" t="inlineStr">
        <is>
          <t>Q01</t>
        </is>
      </c>
      <c r="B2" s="12" t="inlineStr">
        <is>
          <t>배송비 산정 규칙: 브랜드별 부과인지, 장바구니 합계 기준 무료배송 조건과 금액, 도서산간 추가 배송비가 반영되는 시점(주문서 진입 시 / 배송지 선택 후)</t>
        </is>
      </c>
      <c r="C2" s="12" t="inlineStr">
        <is>
          <t>금액 정합성, 배송비 TC</t>
        </is>
      </c>
      <c r="D2" s="12" t="inlineStr">
        <is>
          <t>주문서의 배송비 표기와 브랜드별 상품고시정보를 기록해 규칙 역도출 후 판정</t>
        </is>
      </c>
      <c r="E2" s="6">
        <f>COUNTIF('테스트케이스'!$M$2:$M$91,"*"&amp;A2&amp;"*")</f>
        <v/>
      </c>
      <c r="F2" s="12" t="inlineStr">
        <is>
          <t>CART-007, CART-008, SHP-003, SHP-004, SHP-005, SHP-006, CNL-004</t>
        </is>
      </c>
      <c r="G2" s="14" t="n"/>
      <c r="H2" s="13" t="n"/>
    </row>
    <row r="3" ht="32" customHeight="1">
      <c r="A3" s="6" t="inlineStr">
        <is>
          <t>Q02</t>
        </is>
      </c>
      <c r="B3" s="12" t="inlineStr">
        <is>
          <t>장바구니 제한: 담을 수 있는 최대 상품 수, 옵션당 최대 수량, 초과 시 안내 문구</t>
        </is>
      </c>
      <c r="C3" s="12" t="inlineStr">
        <is>
          <t>장바구니 경계값 TC</t>
        </is>
      </c>
      <c r="D3" s="12" t="inlineStr">
        <is>
          <t>현재 동작(최대값, 안내 문구) 기록 후 판정</t>
        </is>
      </c>
      <c r="E3" s="6">
        <f>COUNTIF('테스트케이스'!$M$2:$M$91,"*"&amp;A3&amp;"*")</f>
        <v/>
      </c>
      <c r="F3" s="12" t="inlineStr">
        <is>
          <t>CART-002, CART-003</t>
        </is>
      </c>
      <c r="G3" s="14" t="n"/>
      <c r="H3" s="13" t="n"/>
    </row>
    <row r="4" ht="62" customHeight="1">
      <c r="A4" s="6" t="inlineStr">
        <is>
          <t>Q03</t>
        </is>
      </c>
      <c r="B4" s="12" t="inlineStr">
        <is>
          <t>할인 적용 순서(등급 할인 → 쿠폰 → 적립금?)와 적립금 7% 한도의 기준 금액(상품 금액 / 쿠폰 적용 후 / 배송비 포함 여부), 10원 미만 절사·반올림 규칙</t>
        </is>
      </c>
      <c r="C4" s="12" t="inlineStr">
        <is>
          <t>금액 정합성, 적립금 TC</t>
        </is>
      </c>
      <c r="D4" s="12" t="inlineStr">
        <is>
          <t>주문서의 각 항목 금액을 기록해 계산식 역도출 후 판정</t>
        </is>
      </c>
      <c r="E4" s="6">
        <f>COUNTIF('테스트케이스'!$M$2:$M$91,"*"&amp;A4&amp;"*")</f>
        <v/>
      </c>
      <c r="F4" s="12" t="inlineStr">
        <is>
          <t>ORD-002, ORD-003, ORD-010, CPN-006, PNT-003, PNT-004, PNT-005, PNT-009</t>
        </is>
      </c>
      <c r="G4" s="14" t="n"/>
      <c r="H4" s="13" t="n"/>
    </row>
    <row r="5" ht="47" customHeight="1">
      <c r="A5" s="6" t="inlineStr">
        <is>
          <t>Q04</t>
        </is>
      </c>
      <c r="B5" s="12" t="inlineStr">
        <is>
          <t>쿠폰 중복 규칙: 상품당 1장인지, 등급 쿠폰과 브랜드 쿠폰 중복 가능 여부, 쿠폰 할인과 적립금 선할인 병행 가능 여부</t>
        </is>
      </c>
      <c r="C5" s="12" t="inlineStr">
        <is>
          <t>쿠폰 TC</t>
        </is>
      </c>
      <c r="D5" s="12" t="inlineStr">
        <is>
          <t>현재 동작(적용 가능 조합) 기록 후 판정</t>
        </is>
      </c>
      <c r="E5" s="6">
        <f>COUNTIF('테스트케이스'!$M$2:$M$91,"*"&amp;A5&amp;"*")</f>
        <v/>
      </c>
      <c r="F5" s="12" t="inlineStr">
        <is>
          <t>ORD-008, CPN-005, CPN-006, PNT-008</t>
        </is>
      </c>
      <c r="G5" s="14" t="n"/>
      <c r="H5" s="13" t="n"/>
    </row>
    <row r="6" ht="47" customHeight="1">
      <c r="A6" s="6" t="inlineStr">
        <is>
          <t>Q05</t>
        </is>
      </c>
      <c r="B6" s="12" t="inlineStr">
        <is>
          <t>품절·가격 변동 처리: 장바구니에 담은 뒤 품절·가격 인상된 상품의 표시와 주문 가능 여부, 주문서 진입 후 품절 시 결제가 차단되는 시점</t>
        </is>
      </c>
      <c r="C6" s="12" t="inlineStr">
        <is>
          <t>장바구니·주문서 TC, 운영 리스크</t>
        </is>
      </c>
      <c r="D6" s="12" t="inlineStr">
        <is>
          <t>현재 동작(표시 방식, 차단 시점) 기록 후 판정</t>
        </is>
      </c>
      <c r="E6" s="6">
        <f>COUNTIF('테스트케이스'!$M$2:$M$91,"*"&amp;A6&amp;"*")</f>
        <v/>
      </c>
      <c r="F6" s="12" t="inlineStr">
        <is>
          <t>CART-005, CART-006, ORD-004, SEC-006</t>
        </is>
      </c>
      <c r="G6" s="14" t="n"/>
      <c r="H6" s="13" t="n"/>
    </row>
    <row r="7" ht="47" customHeight="1">
      <c r="A7" s="6" t="inlineStr">
        <is>
          <t>Q06</t>
        </is>
      </c>
      <c r="B7" s="12" t="inlineStr">
        <is>
          <t>결제 중단 처리: PG·Apple Pay 화면에서 뒤로가기/앱 종료 시 '결제대기' 주문 생성 여부, 사용한 쿠폰·적립금의 즉시 반환 여부, 재시도 경로</t>
        </is>
      </c>
      <c r="C7" s="12" t="inlineStr">
        <is>
          <t>결제수단·모바일 TC</t>
        </is>
      </c>
      <c r="D7" s="12" t="inlineStr">
        <is>
          <t>현재 동작(주문 내역 상태, 쿠폰함·적립금 잔액) 기록 후 판정</t>
        </is>
      </c>
      <c r="E7" s="6">
        <f>COUNTIF('테스트케이스'!$M$2:$M$91,"*"&amp;A7&amp;"*")</f>
        <v/>
      </c>
      <c r="F7" s="12" t="inlineStr">
        <is>
          <t>CPN-009, PAY-006, PAY-007, PAY-008, MOB-004, MOB-007, SEC-005</t>
        </is>
      </c>
      <c r="G7" s="14" t="n"/>
      <c r="H7" s="13" t="n"/>
    </row>
    <row r="8" ht="62" customHeight="1">
      <c r="A8" s="6" t="inlineStr">
        <is>
          <t>Q07</t>
        </is>
      </c>
      <c r="B8" s="12" t="inlineStr">
        <is>
          <t>'결제 금액'의 정의: 적립금 7% 한도와 결제수단 한도(휴대폰 50만 원, 무신사머니 200만 원)의 기준이 배송비 포함 금액인지, 쿠폰 적용 후 금액인지</t>
        </is>
      </c>
      <c r="C8" s="12" t="inlineStr">
        <is>
          <t>한도 경계값 TC</t>
        </is>
      </c>
      <c r="D8" s="12" t="inlineStr">
        <is>
          <t>경계 금액 ±10원 구성으로 현재 동작 기록 후 판정</t>
        </is>
      </c>
      <c r="E8" s="6">
        <f>COUNTIF('테스트케이스'!$M$2:$M$91,"*"&amp;A8&amp;"*")</f>
        <v/>
      </c>
      <c r="F8" s="12" t="inlineStr">
        <is>
          <t>PNT-003, SHP-005, PAY-004, PAY-005</t>
        </is>
      </c>
      <c r="G8" s="14" t="n"/>
      <c r="H8" s="13" t="n"/>
    </row>
    <row r="9" ht="47" customHeight="1">
      <c r="A9" s="6" t="inlineStr">
        <is>
          <t>Q08</t>
        </is>
      </c>
      <c r="B9" s="12" t="inlineStr">
        <is>
          <t>장바구니 동기화·유지: 웹과 앱 장바구니 동기화 여부, 로그아웃·재로그인·앱 재설치 시 유지 여부, 비회원 장바구니의 로그인 후 병합 여부</t>
        </is>
      </c>
      <c r="C9" s="12" t="inlineStr">
        <is>
          <t>장바구니·모바일 TC</t>
        </is>
      </c>
      <c r="D9" s="12" t="inlineStr">
        <is>
          <t>현재 동작 기록 후 판정</t>
        </is>
      </c>
      <c r="E9" s="6">
        <f>COUNTIF('테스트케이스'!$M$2:$M$91,"*"&amp;A9&amp;"*")</f>
        <v/>
      </c>
      <c r="F9" s="12" t="inlineStr">
        <is>
          <t>CART-009, CART-010, MOB-011</t>
        </is>
      </c>
      <c r="G9" s="14" t="n"/>
      <c r="H9" s="13" t="n"/>
    </row>
    <row r="10" ht="32" customHeight="1">
      <c r="A10" s="6" t="inlineStr">
        <is>
          <t>Q09</t>
        </is>
      </c>
      <c r="B10" s="12" t="inlineStr">
        <is>
          <t>즉시 할인 자동 선택 시 다른 결제수단으로 바꾸는 UX(해제 안내 문구 유무)와 해제 후 금액 재계산</t>
        </is>
      </c>
      <c r="C10" s="12" t="inlineStr">
        <is>
          <t>결제수단 TC</t>
        </is>
      </c>
      <c r="D10" s="12" t="inlineStr">
        <is>
          <t>현재 동작 기록 후 판정</t>
        </is>
      </c>
      <c r="E10" s="6">
        <f>COUNTIF('테스트케이스'!$M$2:$M$91,"*"&amp;A10&amp;"*")</f>
        <v/>
      </c>
      <c r="F10" s="12" t="inlineStr">
        <is>
          <t>PAY-003</t>
        </is>
      </c>
      <c r="G10" s="14" t="n"/>
      <c r="H10" s="13" t="n"/>
    </row>
    <row r="11" ht="47" customHeight="1">
      <c r="A11" s="6" t="inlineStr">
        <is>
          <t>Q10</t>
        </is>
      </c>
      <c r="B11" s="12" t="inlineStr">
        <is>
          <t>가입 적립금 24시간·가입 쿠폰 30일 만료 경계: 주문서를 열어둔 채 만료 시각이 지나면 적용된 혜택이 어떻게 처리되는지</t>
        </is>
      </c>
      <c r="C11" s="12" t="inlineStr">
        <is>
          <t>신규 혜택 TC, 금액 정합성</t>
        </is>
      </c>
      <c r="D11" s="12" t="inlineStr">
        <is>
          <t>만료 직후 결제 시도 시 현재 동작 기록 후 판정</t>
        </is>
      </c>
      <c r="E11" s="6">
        <f>COUNTIF('테스트케이스'!$M$2:$M$91,"*"&amp;A11&amp;"*")</f>
        <v/>
      </c>
      <c r="F11" s="12" t="inlineStr">
        <is>
          <t>CPN-008, PNT-010</t>
        </is>
      </c>
      <c r="G11" s="14" t="n"/>
      <c r="H11" s="13" t="n"/>
    </row>
    <row r="12" ht="47" customHeight="1">
      <c r="A12" s="6" t="inlineStr">
        <is>
          <t>Q11</t>
        </is>
      </c>
      <c r="B12" s="12" t="inlineStr">
        <is>
          <t>상품준비중 취소 요청이 거절될 때의 알림(알림톡·앱 푸시)과 앱 내 상태 표시, 요청 철회 후 재요청 불가 처리</t>
        </is>
      </c>
      <c r="C12" s="12" t="inlineStr">
        <is>
          <t>주문 취소 TC</t>
        </is>
      </c>
      <c r="D12" s="12" t="inlineStr">
        <is>
          <t>현재 동작 기록 후 판정</t>
        </is>
      </c>
      <c r="E12" s="6">
        <f>COUNTIF('테스트케이스'!$M$2:$M$91,"*"&amp;A12&amp;"*")</f>
        <v/>
      </c>
      <c r="F12" s="12" t="inlineStr">
        <is>
          <t>CNL-005</t>
        </is>
      </c>
      <c r="G12" s="14" t="n"/>
      <c r="H12" s="13" t="n"/>
    </row>
    <row r="13" ht="47" customHeight="1">
      <c r="A13" s="6" t="inlineStr">
        <is>
          <t>Q12</t>
        </is>
      </c>
      <c r="B13" s="12" t="inlineStr">
        <is>
          <t>적립금 사용 불가 상품과 가능 상품을 함께 주문할 때 7% 한도의 기준 금액(가능 상품 금액만인지)과 주문서 표시</t>
        </is>
      </c>
      <c r="C13" s="12" t="inlineStr">
        <is>
          <t>적립금 TC</t>
        </is>
      </c>
      <c r="D13" s="12" t="inlineStr">
        <is>
          <t>현재 동작(한도 금액, 안내) 기록 후 판정</t>
        </is>
      </c>
      <c r="E13" s="6">
        <f>COUNTIF('테스트케이스'!$M$2:$M$91,"*"&amp;A13&amp;"*")</f>
        <v/>
      </c>
      <c r="F13" s="12" t="inlineStr">
        <is>
          <t>ORD-005</t>
        </is>
      </c>
      <c r="G13" s="14" t="n"/>
      <c r="H13" s="13" t="n"/>
    </row>
    <row r="15">
      <c r="A15" s="10" t="inlineStr">
        <is>
          <t>※ 영향 TC 목록은 2026-10-25 설계 시점 기준. TC의 '관련 질의' 열을 바꾸면 '영향 TC 수'만 자동 갱신됨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44" customWidth="1" min="3" max="3"/>
    <col width="30" customWidth="1" min="4" max="4"/>
  </cols>
  <sheetData>
    <row r="1">
      <c r="A1" s="5" t="inlineStr">
        <is>
          <t>관점</t>
        </is>
      </c>
      <c r="B1" s="5" t="inlineStr">
        <is>
          <t>확인 항목</t>
        </is>
      </c>
      <c r="C1" s="5" t="inlineStr">
        <is>
          <t>연결 TC</t>
        </is>
      </c>
      <c r="D1" s="5" t="inlineStr">
        <is>
          <t>비고</t>
        </is>
      </c>
    </row>
    <row r="2" ht="32" customHeight="1">
      <c r="A2" s="6" t="inlineStr">
        <is>
          <t>앱 생명주기</t>
        </is>
      </c>
      <c r="B2" s="12" t="inlineStr">
        <is>
          <t>백그라운드/포그라운드 전환, 장시간 대기 후 세션 만료, 강제 종료 후 복구</t>
        </is>
      </c>
      <c r="C2" s="12" t="inlineStr">
        <is>
          <t>TC-MOB-001, TC-MOB-007, TC-CART-009</t>
        </is>
      </c>
      <c r="D2" s="14" t="n"/>
    </row>
    <row r="3" ht="32" customHeight="1">
      <c r="A3" s="6" t="inlineStr">
        <is>
          <t>네트워크</t>
        </is>
      </c>
      <c r="B3" s="12" t="inlineStr">
        <is>
          <t>오프라인, Wi-Fi↔셀룰러 전환, 저속망, 요청 중복 전송</t>
        </is>
      </c>
      <c r="C3" s="12" t="inlineStr">
        <is>
          <t>TC-MOB-002, TC-MOB-003</t>
        </is>
      </c>
      <c r="D3" s="14" t="n"/>
    </row>
    <row r="4" ht="32" customHeight="1">
      <c r="A4" s="6" t="inlineStr">
        <is>
          <t>인터럽트</t>
        </is>
      </c>
      <c r="B4" s="12" t="inlineStr">
        <is>
          <t>전화 수신, 알림 배너, 알람, 시리 호출</t>
        </is>
      </c>
      <c r="C4" s="12" t="inlineStr">
        <is>
          <t>TC-MOB-004</t>
        </is>
      </c>
      <c r="D4" s="14" t="n"/>
    </row>
    <row r="5" ht="32" customHeight="1">
      <c r="A5" s="6" t="inlineStr">
        <is>
          <t>진입 경로</t>
        </is>
      </c>
      <c r="B5" s="12" t="inlineStr">
        <is>
          <t>푸시 딥링크, 유니버설 링크, 제휴 링크(바로 접속 OFF)</t>
        </is>
      </c>
      <c r="C5" s="12" t="inlineStr">
        <is>
          <t>TC-MOB-005, TC-MOB-006, TC-PNT-007</t>
        </is>
      </c>
      <c r="D5" s="14" t="n"/>
    </row>
    <row r="6" ht="32" customHeight="1">
      <c r="A6" s="6" t="inlineStr">
        <is>
          <t>OS 통합</t>
        </is>
      </c>
      <c r="B6" s="12" t="inlineStr">
        <is>
          <t>Apple Pay 시트, 앱 스위처 스냅샷, 스와이프 백 제스처, 키보드</t>
        </is>
      </c>
      <c r="C6" s="12" t="inlineStr">
        <is>
          <t>TC-PAY-006, TC-SEC-004, TC-MOB-008, TC-MOB-009</t>
        </is>
      </c>
      <c r="D6" s="14" t="n"/>
    </row>
    <row r="7" ht="32" customHeight="1">
      <c r="A7" s="6" t="inlineStr">
        <is>
          <t>권한</t>
        </is>
      </c>
      <c r="B7" s="12" t="inlineStr">
        <is>
          <t>알림 권한 거부 시 대체 경로</t>
        </is>
      </c>
      <c r="C7" s="12" t="inlineStr">
        <is>
          <t>TC-MOB-010</t>
        </is>
      </c>
      <c r="D7" s="14" t="n"/>
    </row>
    <row r="8" ht="32" customHeight="1">
      <c r="A8" s="6" t="inlineStr">
        <is>
          <t>설치·업데이트</t>
        </is>
      </c>
      <c r="B8" s="12" t="inlineStr">
        <is>
          <t>업데이트 후 로그인·장바구니 유지</t>
        </is>
      </c>
      <c r="C8" s="12" t="inlineStr">
        <is>
          <t>TC-MOB-011</t>
        </is>
      </c>
      <c r="D8" s="14" t="n"/>
    </row>
    <row r="9" ht="32" customHeight="1">
      <c r="A9" s="6" t="inlineStr">
        <is>
          <t>기기·OS 매트릭스</t>
        </is>
      </c>
      <c r="B9" s="12" t="inlineStr">
        <is>
          <t>iOS 최신/직전, 소형/대형 화면</t>
        </is>
      </c>
      <c r="C9" s="12" t="inlineStr">
        <is>
          <t>TC-CMP-001, TC-CMP-002</t>
        </is>
      </c>
      <c r="D9" s="14" t="n"/>
    </row>
    <row r="10" ht="32" customHeight="1">
      <c r="A10" s="6" t="inlineStr">
        <is>
          <t>접근성·표시</t>
        </is>
      </c>
      <c r="B10" s="12" t="inlineStr">
        <is>
          <t>다이나믹 타입, VoiceOver, 다크 모드, 시스템 언어</t>
        </is>
      </c>
      <c r="C10" s="12" t="inlineStr">
        <is>
          <t>TC-CMP-003 ~ TC-CMP-006</t>
        </is>
      </c>
      <c r="D10" s="14" t="n"/>
    </row>
    <row r="11" ht="32" customHeight="1">
      <c r="A11" s="6" t="inlineStr">
        <is>
          <t>데이터 동기화</t>
        </is>
      </c>
      <c r="B11" s="12" t="inlineStr">
        <is>
          <t>웹↔앱 장바구니, 다중 기기 동시 사용</t>
        </is>
      </c>
      <c r="C11" s="12" t="inlineStr">
        <is>
          <t>TC-CART-010, TC-CPN-009, TC-SEC-006</t>
        </is>
      </c>
      <c r="D11" s="14" t="n"/>
    </row>
    <row r="13">
      <c r="A13" s="10" t="inlineStr">
        <is>
          <t>※ 앱 테스트 학습용 관점 목록. 각 관점이 최소 1개 TC로 연결되도록 설계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0" customWidth="1" min="3" max="3"/>
    <col width="8" customWidth="1" min="4" max="4"/>
    <col width="8" customWidth="1" min="5" max="5"/>
    <col width="20" customWidth="1" min="6" max="6"/>
    <col width="40" customWidth="1" min="7" max="7"/>
    <col width="30" customWidth="1" min="8" max="8"/>
    <col width="30" customWidth="1" min="9" max="9"/>
    <col width="8" customWidth="1" min="10" max="10"/>
    <col width="14" customWidth="1" min="11" max="11"/>
    <col width="9" customWidth="1" min="12" max="12"/>
    <col width="11" customWidth="1" min="13" max="13"/>
    <col width="16" customWidth="1" min="14" max="14"/>
  </cols>
  <sheetData>
    <row r="1">
      <c r="A1" s="5" t="inlineStr">
        <is>
          <t>결함 ID</t>
        </is>
      </c>
      <c r="B1" s="5" t="inlineStr">
        <is>
          <t>TC ID</t>
        </is>
      </c>
      <c r="C1" s="5" t="inlineStr">
        <is>
          <t>제목</t>
        </is>
      </c>
      <c r="D1" s="5" t="inlineStr">
        <is>
          <t>심각도</t>
        </is>
      </c>
      <c r="E1" s="5" t="inlineStr">
        <is>
          <t>우선순위</t>
        </is>
      </c>
      <c r="F1" s="5" t="inlineStr">
        <is>
          <t>환경(기기/iOS/앱 버전)</t>
        </is>
      </c>
      <c r="G1" s="5" t="inlineStr">
        <is>
          <t>재현 절차</t>
        </is>
      </c>
      <c r="H1" s="5" t="inlineStr">
        <is>
          <t>기대 결과</t>
        </is>
      </c>
      <c r="I1" s="5" t="inlineStr">
        <is>
          <t>실제 결과</t>
        </is>
      </c>
      <c r="J1" s="5" t="inlineStr">
        <is>
          <t>재현율</t>
        </is>
      </c>
      <c r="K1" s="5" t="inlineStr">
        <is>
          <t>첨부</t>
        </is>
      </c>
      <c r="L1" s="5" t="inlineStr">
        <is>
          <t>상태</t>
        </is>
      </c>
      <c r="M1" s="5" t="inlineStr">
        <is>
          <t>등록일</t>
        </is>
      </c>
      <c r="N1" s="5" t="inlineStr">
        <is>
          <t>비고</t>
        </is>
      </c>
    </row>
    <row r="2" ht="60" customHeight="1">
      <c r="A2" s="15" t="inlineStr">
        <is>
          <t>DEF-000</t>
        </is>
      </c>
      <c r="B2" s="15" t="inlineStr">
        <is>
          <t>TC-PNT-004</t>
        </is>
      </c>
      <c r="C2" s="16" t="inlineStr">
        <is>
          <t>(예시) 적립금 1,005원 입력 시 단위 안내 없이 1,005원 그대로 적용됨</t>
        </is>
      </c>
      <c r="D2" s="15" t="inlineStr">
        <is>
          <t>S2</t>
        </is>
      </c>
      <c r="E2" s="15" t="inlineStr">
        <is>
          <t>P1</t>
        </is>
      </c>
      <c r="F2" s="16" t="inlineStr">
        <is>
          <t>iPhone 15 / iOS 18.x / 앱 x.y.z</t>
        </is>
      </c>
      <c r="G2" s="16" t="inlineStr">
        <is>
          <t>1. 주문서 적립금 입력 1,005원
2. 적용 버튼 탭
3. 최종 결제 금액 확인</t>
        </is>
      </c>
      <c r="H2" s="16" t="inlineStr">
        <is>
          <t>10원 단위 절사(1,000원) 또는 단위 안내 후 거부</t>
        </is>
      </c>
      <c r="I2" s="16" t="inlineStr">
        <is>
          <t>1,005원이 그대로 차감되어 최종 금액이 5원 단위로 표시</t>
        </is>
      </c>
      <c r="J2" s="15" t="inlineStr">
        <is>
          <t>3/3</t>
        </is>
      </c>
      <c r="K2" s="16" t="inlineStr">
        <is>
          <t>def-000-1.png</t>
        </is>
      </c>
      <c r="L2" s="15" t="inlineStr">
        <is>
          <t>신규</t>
        </is>
      </c>
      <c r="M2" s="15" t="inlineStr">
        <is>
          <t>2026-10-26</t>
        </is>
      </c>
      <c r="N2" s="16" t="inlineStr">
        <is>
          <t>예시 행 — 실제 결함 등록 시 삭제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5">
      <c r="A25" s="11" t="inlineStr">
        <is>
          <t>심각도 기준</t>
        </is>
      </c>
    </row>
    <row r="26">
      <c r="A26" s="6" t="inlineStr">
        <is>
          <t>S1</t>
        </is>
      </c>
      <c r="B26" s="12" t="inlineStr">
        <is>
          <t>결제 금액 오류, 중복 결제, 주문·데이터 유실, 크래시로 결제 불가</t>
        </is>
      </c>
      <c r="C26" s="2" t="n"/>
      <c r="D26" s="2" t="n"/>
      <c r="E26" s="2" t="n"/>
      <c r="F26" s="2" t="n"/>
      <c r="G26" s="3" t="n"/>
    </row>
    <row r="27">
      <c r="A27" s="6" t="inlineStr">
        <is>
          <t>S2</t>
        </is>
      </c>
      <c r="B27" s="12" t="inlineStr">
        <is>
          <t>주요 기능(쿠폰·적립금·취소) 동작 불가 또는 정책과 다른 금액 처리</t>
        </is>
      </c>
      <c r="C27" s="2" t="n"/>
      <c r="D27" s="2" t="n"/>
      <c r="E27" s="2" t="n"/>
      <c r="F27" s="2" t="n"/>
      <c r="G27" s="3" t="n"/>
    </row>
    <row r="28">
      <c r="A28" s="6" t="inlineStr">
        <is>
          <t>S3</t>
        </is>
      </c>
      <c r="B28" s="12" t="inlineStr">
        <is>
          <t>안내 문구·UI 오류, 우회 가능한 기능 이상</t>
        </is>
      </c>
      <c r="C28" s="2" t="n"/>
      <c r="D28" s="2" t="n"/>
      <c r="E28" s="2" t="n"/>
      <c r="F28" s="2" t="n"/>
      <c r="G28" s="3" t="n"/>
    </row>
    <row r="29">
      <c r="A29" s="6" t="inlineStr">
        <is>
          <t>S4</t>
        </is>
      </c>
      <c r="B29" s="12" t="inlineStr">
        <is>
          <t>개선 제안, 사소한 표기</t>
        </is>
      </c>
      <c r="C29" s="2" t="n"/>
      <c r="D29" s="2" t="n"/>
      <c r="E29" s="2" t="n"/>
      <c r="F29" s="2" t="n"/>
      <c r="G29" s="3" t="n"/>
    </row>
  </sheetData>
  <mergeCells count="4">
    <mergeCell ref="B26:G26"/>
    <mergeCell ref="B28:G28"/>
    <mergeCell ref="B27:G27"/>
    <mergeCell ref="B29:G29"/>
  </mergeCells>
  <dataValidations count="3">
    <dataValidation sqref="D2:D22" showDropDown="0" showInputMessage="0" showErrorMessage="0" allowBlank="1" type="list">
      <formula1>"S1,S2,S3,S4"</formula1>
    </dataValidation>
    <dataValidation sqref="E2:E22" showDropDown="0" showInputMessage="0" showErrorMessage="0" allowBlank="1" type="list">
      <formula1>"P1,P2,P3"</formula1>
    </dataValidation>
    <dataValidation sqref="L2:L22" showDropDown="0" showInputMessage="0" showErrorMessage="0" allowBlank="1" type="list">
      <formula1>"신규,확인,수정중,재검증,종료,보류"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2026-10-25T07:48:14Z</dcterms:created>
  <dcterms:modified xsi:type="dcterms:W3CDTF">2026-10-25T07:48:14Z</dcterms:modified>
</cp:coreProperties>
</file>