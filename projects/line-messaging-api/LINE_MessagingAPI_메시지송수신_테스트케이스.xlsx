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테스트케이스" sheetId="2" state="visible" r:id="rId2"/>
    <sheet name="테스트 데이터" sheetId="3" state="visible" r:id="rId3"/>
    <sheet name="질의사항" sheetId="4" state="visible" r:id="rId4"/>
    <sheet name="API 체크리스트" sheetId="5" state="visible" r:id="rId5"/>
    <sheet name="결함 리포트" sheetId="6" state="visible" r:id="rId6"/>
  </sheets>
  <definedNames>
    <definedName name="_xlnm._FilterDatabase" localSheetId="1" hidden="1">'테스트케이스'!$A$1:$T$103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sz val="9"/>
    </font>
    <font>
      <name val="Arial"/>
      <i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FF674EA7"/>
      </patternFill>
    </fill>
    <fill>
      <patternFill patternType="solid">
        <fgColor rgb="FFFFF2CC"/>
      </patternFill>
    </fill>
    <fill>
      <patternFill patternType="solid">
        <fgColor rgb="FFEFEFE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60" customWidth="1" min="10" max="10"/>
  </cols>
  <sheetData>
    <row r="1">
      <c r="A1" s="1" t="inlineStr">
        <is>
          <t>LINE Messaging API 메시지 송수신 테스트 케이스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- 요구사항 22건(REQ-01~22)은 LINE Developers 공개 문서(Messaging API reference·docs, 2026-10-25 조회)에서 역도출. 질의사항 13건(Q01~Q13)은 실제 응답으로 확정하며 기대결과에 'Qn 회신 후 확정' 표기</t>
        </is>
      </c>
    </row>
    <row r="3">
      <c r="A3" s="4" t="inlineStr">
        <is>
          <t>- 설계 근거: 요구사항(공개 문서에서 직접 도출) / 리스크 기반(문서 외, 중복 발송·유실·보안 영향 큼) / 추가 검증(범위 외 품질 확인)</t>
        </is>
      </c>
    </row>
    <row r="4">
      <c r="A4" s="4" t="inlineStr">
        <is>
          <t>- 입력: '테스트케이스' 시트 노란 칸. 결과는 Pass/Fail/Blocked/N/A 선택. 집계는 자동 계산</t>
        </is>
      </c>
    </row>
    <row r="5">
      <c r="A5" s="4" t="inlineStr">
        <is>
          <t>- 실행 구분: 무발송(사용자에게 메시지가 가지 않음) / 발송(테스트 사용자에게 실제 도달, 월 한도 소모) / 장기·한도(24시간 키 만료·14일 상태 창·시간당 한도 등 시간 경과 필요). 자동화 구분: API / UI(LINE 앱·콘솔 확인) / 수동 — 계획서 8장</t>
        </is>
      </c>
    </row>
    <row r="7">
      <c r="A7" s="5" t="inlineStr">
        <is>
          <t>대분류</t>
        </is>
      </c>
      <c r="B7" s="5" t="inlineStr">
        <is>
          <t>TC 수</t>
        </is>
      </c>
      <c r="C7" s="5" t="inlineStr">
        <is>
          <t>P1</t>
        </is>
      </c>
      <c r="D7" s="5" t="inlineStr">
        <is>
          <t>P2</t>
        </is>
      </c>
      <c r="E7" s="5" t="inlineStr">
        <is>
          <t>P3</t>
        </is>
      </c>
      <c r="F7" s="5" t="inlineStr">
        <is>
          <t>Pass</t>
        </is>
      </c>
      <c r="G7" s="5" t="inlineStr">
        <is>
          <t>Fail</t>
        </is>
      </c>
      <c r="H7" s="5" t="inlineStr">
        <is>
          <t>Blocked</t>
        </is>
      </c>
      <c r="I7" s="5" t="inlineStr">
        <is>
          <t>미완료</t>
        </is>
      </c>
    </row>
    <row r="8">
      <c r="A8" s="6" t="inlineStr">
        <is>
          <t>인증·토큰</t>
        </is>
      </c>
      <c r="B8" s="6">
        <f>COUNTIF('테스트케이스'!$B$2:$B$103,A8)</f>
        <v/>
      </c>
      <c r="C8" s="6">
        <f>COUNTIFS('테스트케이스'!$B$2:$B$103,$A8,'테스트케이스'!$H$2:$H$103,"P1")</f>
        <v/>
      </c>
      <c r="D8" s="6">
        <f>COUNTIFS('테스트케이스'!$B$2:$B$103,$A8,'테스트케이스'!$H$2:$H$103,"P2")</f>
        <v/>
      </c>
      <c r="E8" s="6">
        <f>COUNTIFS('테스트케이스'!$B$2:$B$103,$A8,'테스트케이스'!$H$2:$H$103,"P3")</f>
        <v/>
      </c>
      <c r="F8" s="6">
        <f>COUNTIFS('테스트케이스'!$B$2:$B$103,$A8,'테스트케이스'!$N$2:$N$103,"Pass")</f>
        <v/>
      </c>
      <c r="G8" s="6">
        <f>COUNTIFS('테스트케이스'!$B$2:$B$103,$A8,'테스트케이스'!$N$2:$N$103,"Fail")</f>
        <v/>
      </c>
      <c r="H8" s="6">
        <f>COUNTIFS('테스트케이스'!$B$2:$B$103,$A8,'테스트케이스'!$N$2:$N$103,"Blocked")</f>
        <v/>
      </c>
      <c r="I8" s="6">
        <f>B8-F8-G8-H8-COUNTIFS('테스트케이스'!$B$2:$B$103,$A8,'테스트케이스'!$N$2:$N$103,"N/A")</f>
        <v/>
      </c>
    </row>
    <row r="9">
      <c r="A9" s="6" t="inlineStr">
        <is>
          <t>공통 계약</t>
        </is>
      </c>
      <c r="B9" s="6">
        <f>COUNTIF('테스트케이스'!$B$2:$B$103,A9)</f>
        <v/>
      </c>
      <c r="C9" s="6">
        <f>COUNTIFS('테스트케이스'!$B$2:$B$103,$A9,'테스트케이스'!$H$2:$H$103,"P1")</f>
        <v/>
      </c>
      <c r="D9" s="6">
        <f>COUNTIFS('테스트케이스'!$B$2:$B$103,$A9,'테스트케이스'!$H$2:$H$103,"P2")</f>
        <v/>
      </c>
      <c r="E9" s="6">
        <f>COUNTIFS('테스트케이스'!$B$2:$B$103,$A9,'테스트케이스'!$H$2:$H$103,"P3")</f>
        <v/>
      </c>
      <c r="F9" s="6">
        <f>COUNTIFS('테스트케이스'!$B$2:$B$103,$A9,'테스트케이스'!$N$2:$N$103,"Pass")</f>
        <v/>
      </c>
      <c r="G9" s="6">
        <f>COUNTIFS('테스트케이스'!$B$2:$B$103,$A9,'테스트케이스'!$N$2:$N$103,"Fail")</f>
        <v/>
      </c>
      <c r="H9" s="6">
        <f>COUNTIFS('테스트케이스'!$B$2:$B$103,$A9,'테스트케이스'!$N$2:$N$103,"Blocked")</f>
        <v/>
      </c>
      <c r="I9" s="6">
        <f>B9-F9-G9-H9-COUNTIFS('테스트케이스'!$B$2:$B$103,$A9,'테스트케이스'!$N$2:$N$103,"N/A")</f>
        <v/>
      </c>
    </row>
    <row r="10">
      <c r="A10" s="6" t="inlineStr">
        <is>
          <t>응답 메시지</t>
        </is>
      </c>
      <c r="B10" s="6">
        <f>COUNTIF('테스트케이스'!$B$2:$B$103,A10)</f>
        <v/>
      </c>
      <c r="C10" s="6">
        <f>COUNTIFS('테스트케이스'!$B$2:$B$103,$A10,'테스트케이스'!$H$2:$H$103,"P1")</f>
        <v/>
      </c>
      <c r="D10" s="6">
        <f>COUNTIFS('테스트케이스'!$B$2:$B$103,$A10,'테스트케이스'!$H$2:$H$103,"P2")</f>
        <v/>
      </c>
      <c r="E10" s="6">
        <f>COUNTIFS('테스트케이스'!$B$2:$B$103,$A10,'테스트케이스'!$H$2:$H$103,"P3")</f>
        <v/>
      </c>
      <c r="F10" s="6">
        <f>COUNTIFS('테스트케이스'!$B$2:$B$103,$A10,'테스트케이스'!$N$2:$N$103,"Pass")</f>
        <v/>
      </c>
      <c r="G10" s="6">
        <f>COUNTIFS('테스트케이스'!$B$2:$B$103,$A10,'테스트케이스'!$N$2:$N$103,"Fail")</f>
        <v/>
      </c>
      <c r="H10" s="6">
        <f>COUNTIFS('테스트케이스'!$B$2:$B$103,$A10,'테스트케이스'!$N$2:$N$103,"Blocked")</f>
        <v/>
      </c>
      <c r="I10" s="6">
        <f>B10-F10-G10-H10-COUNTIFS('테스트케이스'!$B$2:$B$103,$A10,'테스트케이스'!$N$2:$N$103,"N/A")</f>
        <v/>
      </c>
    </row>
    <row r="11">
      <c r="A11" s="6" t="inlineStr">
        <is>
          <t>푸시 메시지</t>
        </is>
      </c>
      <c r="B11" s="6">
        <f>COUNTIF('테스트케이스'!$B$2:$B$103,A11)</f>
        <v/>
      </c>
      <c r="C11" s="6">
        <f>COUNTIFS('테스트케이스'!$B$2:$B$103,$A11,'테스트케이스'!$H$2:$H$103,"P1")</f>
        <v/>
      </c>
      <c r="D11" s="6">
        <f>COUNTIFS('테스트케이스'!$B$2:$B$103,$A11,'테스트케이스'!$H$2:$H$103,"P2")</f>
        <v/>
      </c>
      <c r="E11" s="6">
        <f>COUNTIFS('테스트케이스'!$B$2:$B$103,$A11,'테스트케이스'!$H$2:$H$103,"P3")</f>
        <v/>
      </c>
      <c r="F11" s="6">
        <f>COUNTIFS('테스트케이스'!$B$2:$B$103,$A11,'테스트케이스'!$N$2:$N$103,"Pass")</f>
        <v/>
      </c>
      <c r="G11" s="6">
        <f>COUNTIFS('테스트케이스'!$B$2:$B$103,$A11,'테스트케이스'!$N$2:$N$103,"Fail")</f>
        <v/>
      </c>
      <c r="H11" s="6">
        <f>COUNTIFS('테스트케이스'!$B$2:$B$103,$A11,'테스트케이스'!$N$2:$N$103,"Blocked")</f>
        <v/>
      </c>
      <c r="I11" s="6">
        <f>B11-F11-G11-H11-COUNTIFS('테스트케이스'!$B$2:$B$103,$A11,'테스트케이스'!$N$2:$N$103,"N/A")</f>
        <v/>
      </c>
    </row>
    <row r="12">
      <c r="A12" s="6" t="inlineStr">
        <is>
          <t>다중 발송</t>
        </is>
      </c>
      <c r="B12" s="6">
        <f>COUNTIF('테스트케이스'!$B$2:$B$103,A12)</f>
        <v/>
      </c>
      <c r="C12" s="6">
        <f>COUNTIFS('테스트케이스'!$B$2:$B$103,$A12,'테스트케이스'!$H$2:$H$103,"P1")</f>
        <v/>
      </c>
      <c r="D12" s="6">
        <f>COUNTIFS('테스트케이스'!$B$2:$B$103,$A12,'테스트케이스'!$H$2:$H$103,"P2")</f>
        <v/>
      </c>
      <c r="E12" s="6">
        <f>COUNTIFS('테스트케이스'!$B$2:$B$103,$A12,'테스트케이스'!$H$2:$H$103,"P3")</f>
        <v/>
      </c>
      <c r="F12" s="6">
        <f>COUNTIFS('테스트케이스'!$B$2:$B$103,$A12,'테스트케이스'!$N$2:$N$103,"Pass")</f>
        <v/>
      </c>
      <c r="G12" s="6">
        <f>COUNTIFS('테스트케이스'!$B$2:$B$103,$A12,'테스트케이스'!$N$2:$N$103,"Fail")</f>
        <v/>
      </c>
      <c r="H12" s="6">
        <f>COUNTIFS('테스트케이스'!$B$2:$B$103,$A12,'테스트케이스'!$N$2:$N$103,"Blocked")</f>
        <v/>
      </c>
      <c r="I12" s="6">
        <f>B12-F12-G12-H12-COUNTIFS('테스트케이스'!$B$2:$B$103,$A12,'테스트케이스'!$N$2:$N$103,"N/A")</f>
        <v/>
      </c>
    </row>
    <row r="13">
      <c r="A13" s="6" t="inlineStr">
        <is>
          <t>멱등성·재시도</t>
        </is>
      </c>
      <c r="B13" s="6">
        <f>COUNTIF('테스트케이스'!$B$2:$B$103,A13)</f>
        <v/>
      </c>
      <c r="C13" s="6">
        <f>COUNTIFS('테스트케이스'!$B$2:$B$103,$A13,'테스트케이스'!$H$2:$H$103,"P1")</f>
        <v/>
      </c>
      <c r="D13" s="6">
        <f>COUNTIFS('테스트케이스'!$B$2:$B$103,$A13,'테스트케이스'!$H$2:$H$103,"P2")</f>
        <v/>
      </c>
      <c r="E13" s="6">
        <f>COUNTIFS('테스트케이스'!$B$2:$B$103,$A13,'테스트케이스'!$H$2:$H$103,"P3")</f>
        <v/>
      </c>
      <c r="F13" s="6">
        <f>COUNTIFS('테스트케이스'!$B$2:$B$103,$A13,'테스트케이스'!$N$2:$N$103,"Pass")</f>
        <v/>
      </c>
      <c r="G13" s="6">
        <f>COUNTIFS('테스트케이스'!$B$2:$B$103,$A13,'테스트케이스'!$N$2:$N$103,"Fail")</f>
        <v/>
      </c>
      <c r="H13" s="6">
        <f>COUNTIFS('테스트케이스'!$B$2:$B$103,$A13,'테스트케이스'!$N$2:$N$103,"Blocked")</f>
        <v/>
      </c>
      <c r="I13" s="6">
        <f>B13-F13-G13-H13-COUNTIFS('테스트케이스'!$B$2:$B$103,$A13,'테스트케이스'!$N$2:$N$103,"N/A")</f>
        <v/>
      </c>
    </row>
    <row r="14">
      <c r="A14" s="6" t="inlineStr">
        <is>
          <t>메시지 객체 검증</t>
        </is>
      </c>
      <c r="B14" s="6">
        <f>COUNTIF('테스트케이스'!$B$2:$B$103,A14)</f>
        <v/>
      </c>
      <c r="C14" s="6">
        <f>COUNTIFS('테스트케이스'!$B$2:$B$103,$A14,'테스트케이스'!$H$2:$H$103,"P1")</f>
        <v/>
      </c>
      <c r="D14" s="6">
        <f>COUNTIFS('테스트케이스'!$B$2:$B$103,$A14,'테스트케이스'!$H$2:$H$103,"P2")</f>
        <v/>
      </c>
      <c r="E14" s="6">
        <f>COUNTIFS('테스트케이스'!$B$2:$B$103,$A14,'테스트케이스'!$H$2:$H$103,"P3")</f>
        <v/>
      </c>
      <c r="F14" s="6">
        <f>COUNTIFS('테스트케이스'!$B$2:$B$103,$A14,'테스트케이스'!$N$2:$N$103,"Pass")</f>
        <v/>
      </c>
      <c r="G14" s="6">
        <f>COUNTIFS('테스트케이스'!$B$2:$B$103,$A14,'테스트케이스'!$N$2:$N$103,"Fail")</f>
        <v/>
      </c>
      <c r="H14" s="6">
        <f>COUNTIFS('테스트케이스'!$B$2:$B$103,$A14,'테스트케이스'!$N$2:$N$103,"Blocked")</f>
        <v/>
      </c>
      <c r="I14" s="6">
        <f>B14-F14-G14-H14-COUNTIFS('테스트케이스'!$B$2:$B$103,$A14,'테스트케이스'!$N$2:$N$103,"N/A")</f>
        <v/>
      </c>
    </row>
    <row r="15">
      <c r="A15" s="6" t="inlineStr">
        <is>
          <t>웹훅 수신·서명</t>
        </is>
      </c>
      <c r="B15" s="6">
        <f>COUNTIF('테스트케이스'!$B$2:$B$103,A15)</f>
        <v/>
      </c>
      <c r="C15" s="6">
        <f>COUNTIFS('테스트케이스'!$B$2:$B$103,$A15,'테스트케이스'!$H$2:$H$103,"P1")</f>
        <v/>
      </c>
      <c r="D15" s="6">
        <f>COUNTIFS('테스트케이스'!$B$2:$B$103,$A15,'테스트케이스'!$H$2:$H$103,"P2")</f>
        <v/>
      </c>
      <c r="E15" s="6">
        <f>COUNTIFS('테스트케이스'!$B$2:$B$103,$A15,'테스트케이스'!$H$2:$H$103,"P3")</f>
        <v/>
      </c>
      <c r="F15" s="6">
        <f>COUNTIFS('테스트케이스'!$B$2:$B$103,$A15,'테스트케이스'!$N$2:$N$103,"Pass")</f>
        <v/>
      </c>
      <c r="G15" s="6">
        <f>COUNTIFS('테스트케이스'!$B$2:$B$103,$A15,'테스트케이스'!$N$2:$N$103,"Fail")</f>
        <v/>
      </c>
      <c r="H15" s="6">
        <f>COUNTIFS('테스트케이스'!$B$2:$B$103,$A15,'테스트케이스'!$N$2:$N$103,"Blocked")</f>
        <v/>
      </c>
      <c r="I15" s="6">
        <f>B15-F15-G15-H15-COUNTIFS('테스트케이스'!$B$2:$B$103,$A15,'테스트케이스'!$N$2:$N$103,"N/A")</f>
        <v/>
      </c>
    </row>
    <row r="16">
      <c r="A16" s="6" t="inlineStr">
        <is>
          <t>웹훅 설정·재전송</t>
        </is>
      </c>
      <c r="B16" s="6">
        <f>COUNTIF('테스트케이스'!$B$2:$B$103,A16)</f>
        <v/>
      </c>
      <c r="C16" s="6">
        <f>COUNTIFS('테스트케이스'!$B$2:$B$103,$A16,'테스트케이스'!$H$2:$H$103,"P1")</f>
        <v/>
      </c>
      <c r="D16" s="6">
        <f>COUNTIFS('테스트케이스'!$B$2:$B$103,$A16,'테스트케이스'!$H$2:$H$103,"P2")</f>
        <v/>
      </c>
      <c r="E16" s="6">
        <f>COUNTIFS('테스트케이스'!$B$2:$B$103,$A16,'테스트케이스'!$H$2:$H$103,"P3")</f>
        <v/>
      </c>
      <c r="F16" s="6">
        <f>COUNTIFS('테스트케이스'!$B$2:$B$103,$A16,'테스트케이스'!$N$2:$N$103,"Pass")</f>
        <v/>
      </c>
      <c r="G16" s="6">
        <f>COUNTIFS('테스트케이스'!$B$2:$B$103,$A16,'테스트케이스'!$N$2:$N$103,"Fail")</f>
        <v/>
      </c>
      <c r="H16" s="6">
        <f>COUNTIFS('테스트케이스'!$B$2:$B$103,$A16,'테스트케이스'!$N$2:$N$103,"Blocked")</f>
        <v/>
      </c>
      <c r="I16" s="6">
        <f>B16-F16-G16-H16-COUNTIFS('테스트케이스'!$B$2:$B$103,$A16,'테스트케이스'!$N$2:$N$103,"N/A")</f>
        <v/>
      </c>
    </row>
    <row r="17">
      <c r="A17" s="6" t="inlineStr">
        <is>
          <t>레이트리밋·쿼터</t>
        </is>
      </c>
      <c r="B17" s="6">
        <f>COUNTIF('테스트케이스'!$B$2:$B$103,A17)</f>
        <v/>
      </c>
      <c r="C17" s="6">
        <f>COUNTIFS('테스트케이스'!$B$2:$B$103,$A17,'테스트케이스'!$H$2:$H$103,"P1")</f>
        <v/>
      </c>
      <c r="D17" s="6">
        <f>COUNTIFS('테스트케이스'!$B$2:$B$103,$A17,'테스트케이스'!$H$2:$H$103,"P2")</f>
        <v/>
      </c>
      <c r="E17" s="6">
        <f>COUNTIFS('테스트케이스'!$B$2:$B$103,$A17,'테스트케이스'!$H$2:$H$103,"P3")</f>
        <v/>
      </c>
      <c r="F17" s="6">
        <f>COUNTIFS('테스트케이스'!$B$2:$B$103,$A17,'테스트케이스'!$N$2:$N$103,"Pass")</f>
        <v/>
      </c>
      <c r="G17" s="6">
        <f>COUNTIFS('테스트케이스'!$B$2:$B$103,$A17,'테스트케이스'!$N$2:$N$103,"Fail")</f>
        <v/>
      </c>
      <c r="H17" s="6">
        <f>COUNTIFS('테스트케이스'!$B$2:$B$103,$A17,'테스트케이스'!$N$2:$N$103,"Blocked")</f>
        <v/>
      </c>
      <c r="I17" s="6">
        <f>B17-F17-G17-H17-COUNTIFS('테스트케이스'!$B$2:$B$103,$A17,'테스트케이스'!$N$2:$N$103,"N/A")</f>
        <v/>
      </c>
    </row>
    <row r="18">
      <c r="A18" s="6" t="inlineStr">
        <is>
          <t>조회·페이지네이션</t>
        </is>
      </c>
      <c r="B18" s="6">
        <f>COUNTIF('테스트케이스'!$B$2:$B$103,A18)</f>
        <v/>
      </c>
      <c r="C18" s="6">
        <f>COUNTIFS('테스트케이스'!$B$2:$B$103,$A18,'테스트케이스'!$H$2:$H$103,"P1")</f>
        <v/>
      </c>
      <c r="D18" s="6">
        <f>COUNTIFS('테스트케이스'!$B$2:$B$103,$A18,'테스트케이스'!$H$2:$H$103,"P2")</f>
        <v/>
      </c>
      <c r="E18" s="6">
        <f>COUNTIFS('테스트케이스'!$B$2:$B$103,$A18,'테스트케이스'!$H$2:$H$103,"P3")</f>
        <v/>
      </c>
      <c r="F18" s="6">
        <f>COUNTIFS('테스트케이스'!$B$2:$B$103,$A18,'테스트케이스'!$N$2:$N$103,"Pass")</f>
        <v/>
      </c>
      <c r="G18" s="6">
        <f>COUNTIFS('테스트케이스'!$B$2:$B$103,$A18,'테스트케이스'!$N$2:$N$103,"Fail")</f>
        <v/>
      </c>
      <c r="H18" s="6">
        <f>COUNTIFS('테스트케이스'!$B$2:$B$103,$A18,'테스트케이스'!$N$2:$N$103,"Blocked")</f>
        <v/>
      </c>
      <c r="I18" s="6">
        <f>B18-F18-G18-H18-COUNTIFS('테스트케이스'!$B$2:$B$103,$A18,'테스트케이스'!$N$2:$N$103,"N/A")</f>
        <v/>
      </c>
    </row>
    <row r="19">
      <c r="A19" s="6" t="inlineStr">
        <is>
          <t>보안·운영</t>
        </is>
      </c>
      <c r="B19" s="6">
        <f>COUNTIF('테스트케이스'!$B$2:$B$103,A19)</f>
        <v/>
      </c>
      <c r="C19" s="6">
        <f>COUNTIFS('테스트케이스'!$B$2:$B$103,$A19,'테스트케이스'!$H$2:$H$103,"P1")</f>
        <v/>
      </c>
      <c r="D19" s="6">
        <f>COUNTIFS('테스트케이스'!$B$2:$B$103,$A19,'테스트케이스'!$H$2:$H$103,"P2")</f>
        <v/>
      </c>
      <c r="E19" s="6">
        <f>COUNTIFS('테스트케이스'!$B$2:$B$103,$A19,'테스트케이스'!$H$2:$H$103,"P3")</f>
        <v/>
      </c>
      <c r="F19" s="6">
        <f>COUNTIFS('테스트케이스'!$B$2:$B$103,$A19,'테스트케이스'!$N$2:$N$103,"Pass")</f>
        <v/>
      </c>
      <c r="G19" s="6">
        <f>COUNTIFS('테스트케이스'!$B$2:$B$103,$A19,'테스트케이스'!$N$2:$N$103,"Fail")</f>
        <v/>
      </c>
      <c r="H19" s="6">
        <f>COUNTIFS('테스트케이스'!$B$2:$B$103,$A19,'테스트케이스'!$N$2:$N$103,"Blocked")</f>
        <v/>
      </c>
      <c r="I19" s="6">
        <f>B19-F19-G19-H19-COUNTIFS('테스트케이스'!$B$2:$B$103,$A19,'테스트케이스'!$N$2:$N$103,"N/A")</f>
        <v/>
      </c>
    </row>
    <row r="20">
      <c r="A20" s="7" t="inlineStr">
        <is>
          <t>합계</t>
        </is>
      </c>
      <c r="B20" s="7">
        <f>SUM(B8:B19)</f>
        <v/>
      </c>
      <c r="C20" s="7">
        <f>SUM(C8:C19)</f>
        <v/>
      </c>
      <c r="D20" s="7">
        <f>SUM(D8:D19)</f>
        <v/>
      </c>
      <c r="E20" s="7">
        <f>SUM(E8:E19)</f>
        <v/>
      </c>
      <c r="F20" s="7">
        <f>SUM(F8:F19)</f>
        <v/>
      </c>
      <c r="G20" s="7">
        <f>SUM(G8:G19)</f>
        <v/>
      </c>
      <c r="H20" s="7">
        <f>SUM(H8:H19)</f>
        <v/>
      </c>
      <c r="I20" s="7">
        <f>SUM(I8:I19)</f>
        <v/>
      </c>
    </row>
    <row r="21">
      <c r="A21" s="8" t="inlineStr">
        <is>
          <t>수행률</t>
        </is>
      </c>
      <c r="B21" s="9">
        <f>IF(B20=0,0,(F20+G20+H20)/B20)</f>
        <v/>
      </c>
      <c r="C21" s="8" t="inlineStr">
        <is>
          <t>Pass율</t>
        </is>
      </c>
      <c r="D21" s="9">
        <f>IF((F20+G20)=0,0,F20/(F20+G20))</f>
        <v/>
      </c>
      <c r="E21" s="10" t="inlineStr">
        <is>
          <t>수행률 = (Pass+Fail+Blocked)/TC 수, Pass율 = Pass/(Pass+Fail)</t>
        </is>
      </c>
    </row>
    <row r="23">
      <c r="A23" s="11" t="inlineStr">
        <is>
          <t>설계 근거별 분포</t>
        </is>
      </c>
    </row>
    <row r="24">
      <c r="A24" s="5" t="inlineStr">
        <is>
          <t>설계 근거</t>
        </is>
      </c>
      <c r="B24" s="5" t="inlineStr">
        <is>
          <t>TC 수</t>
        </is>
      </c>
      <c r="C24" s="5" t="inlineStr">
        <is>
          <t>P1</t>
        </is>
      </c>
      <c r="D24" s="5" t="inlineStr">
        <is>
          <t>P2</t>
        </is>
      </c>
      <c r="E24" s="5" t="inlineStr">
        <is>
          <t>P3</t>
        </is>
      </c>
      <c r="F24" s="5" t="inlineStr">
        <is>
          <t>비율</t>
        </is>
      </c>
    </row>
    <row r="25">
      <c r="A25" s="6" t="inlineStr">
        <is>
          <t>요구사항</t>
        </is>
      </c>
      <c r="B25" s="6">
        <f>COUNTIF('테스트케이스'!$E$2:$E$103,A25)</f>
        <v/>
      </c>
      <c r="C25" s="6">
        <f>COUNTIFS('테스트케이스'!$E$2:$E$103,$A25,'테스트케이스'!$H$2:$H$103,"P1")</f>
        <v/>
      </c>
      <c r="D25" s="6">
        <f>COUNTIFS('테스트케이스'!$E$2:$E$103,$A25,'테스트케이스'!$H$2:$H$103,"P2")</f>
        <v/>
      </c>
      <c r="E25" s="6">
        <f>COUNTIFS('테스트케이스'!$E$2:$E$103,$A25,'테스트케이스'!$H$2:$H$103,"P3")</f>
        <v/>
      </c>
      <c r="F25" s="9">
        <f>IF($B$20=0,0,B25/$B$20)</f>
        <v/>
      </c>
    </row>
    <row r="26">
      <c r="A26" s="6" t="inlineStr">
        <is>
          <t>리스크 기반</t>
        </is>
      </c>
      <c r="B26" s="6">
        <f>COUNTIF('테스트케이스'!$E$2:$E$103,A26)</f>
        <v/>
      </c>
      <c r="C26" s="6">
        <f>COUNTIFS('테스트케이스'!$E$2:$E$103,$A26,'테스트케이스'!$H$2:$H$103,"P1")</f>
        <v/>
      </c>
      <c r="D26" s="6">
        <f>COUNTIFS('테스트케이스'!$E$2:$E$103,$A26,'테스트케이스'!$H$2:$H$103,"P2")</f>
        <v/>
      </c>
      <c r="E26" s="6">
        <f>COUNTIFS('테스트케이스'!$E$2:$E$103,$A26,'테스트케이스'!$H$2:$H$103,"P3")</f>
        <v/>
      </c>
      <c r="F26" s="9">
        <f>IF($B$20=0,0,B26/$B$20)</f>
        <v/>
      </c>
    </row>
    <row r="27">
      <c r="A27" s="6" t="inlineStr">
        <is>
          <t>추가 검증</t>
        </is>
      </c>
      <c r="B27" s="6">
        <f>COUNTIF('테스트케이스'!$E$2:$E$103,A27)</f>
        <v/>
      </c>
      <c r="C27" s="6">
        <f>COUNTIFS('테스트케이스'!$E$2:$E$103,$A27,'테스트케이스'!$H$2:$H$103,"P1")</f>
        <v/>
      </c>
      <c r="D27" s="6">
        <f>COUNTIFS('테스트케이스'!$E$2:$E$103,$A27,'테스트케이스'!$H$2:$H$103,"P2")</f>
        <v/>
      </c>
      <c r="E27" s="6">
        <f>COUNTIFS('테스트케이스'!$E$2:$E$103,$A27,'테스트케이스'!$H$2:$H$103,"P3")</f>
        <v/>
      </c>
      <c r="F27" s="9">
        <f>IF($B$20=0,0,B27/$B$20)</f>
        <v/>
      </c>
    </row>
    <row r="29">
      <c r="A29" s="11" t="inlineStr">
        <is>
          <t>실행 구분별 결과</t>
        </is>
      </c>
    </row>
    <row r="30">
      <c r="A30" s="5" t="inlineStr">
        <is>
          <t>실행 구분</t>
        </is>
      </c>
      <c r="B30" s="5" t="inlineStr">
        <is>
          <t>대상 TC</t>
        </is>
      </c>
      <c r="C30" s="5" t="inlineStr">
        <is>
          <t>Pass</t>
        </is>
      </c>
      <c r="D30" s="5" t="inlineStr">
        <is>
          <t>Fail</t>
        </is>
      </c>
      <c r="E30" s="5" t="inlineStr">
        <is>
          <t>Blocked</t>
        </is>
      </c>
      <c r="F30" s="5" t="inlineStr">
        <is>
          <t>미수행</t>
        </is>
      </c>
    </row>
    <row r="31">
      <c r="A31" s="6" t="inlineStr">
        <is>
          <t>무발송</t>
        </is>
      </c>
      <c r="B31" s="6">
        <f>COUNTIF('테스트케이스'!$F$2:$F$103,A31)</f>
        <v/>
      </c>
      <c r="C31" s="6">
        <f>COUNTIFS('테스트케이스'!$F$2:$F$103,$A31,'테스트케이스'!$N$2:$N$103,"Pass")</f>
        <v/>
      </c>
      <c r="D31" s="6">
        <f>COUNTIFS('테스트케이스'!$F$2:$F$103,$A31,'테스트케이스'!$N$2:$N$103,"Fail")</f>
        <v/>
      </c>
      <c r="E31" s="6">
        <f>COUNTIFS('테스트케이스'!$F$2:$F$103,$A31,'테스트케이스'!$N$2:$N$103,"Blocked")</f>
        <v/>
      </c>
      <c r="F31" s="6">
        <f>B31-C31-D31-E31-COUNTIFS('테스트케이스'!$F$2:$F$103,$A31,'테스트케이스'!$N$2:$N$103,"N/A")</f>
        <v/>
      </c>
    </row>
    <row r="32">
      <c r="A32" s="6" t="inlineStr">
        <is>
          <t>발송</t>
        </is>
      </c>
      <c r="B32" s="6">
        <f>COUNTIF('테스트케이스'!$F$2:$F$103,A32)</f>
        <v/>
      </c>
      <c r="C32" s="6">
        <f>COUNTIFS('테스트케이스'!$F$2:$F$103,$A32,'테스트케이스'!$N$2:$N$103,"Pass")</f>
        <v/>
      </c>
      <c r="D32" s="6">
        <f>COUNTIFS('테스트케이스'!$F$2:$F$103,$A32,'테스트케이스'!$N$2:$N$103,"Fail")</f>
        <v/>
      </c>
      <c r="E32" s="6">
        <f>COUNTIFS('테스트케이스'!$F$2:$F$103,$A32,'테스트케이스'!$N$2:$N$103,"Blocked")</f>
        <v/>
      </c>
      <c r="F32" s="6">
        <f>B32-C32-D32-E32-COUNTIFS('테스트케이스'!$F$2:$F$103,$A32,'테스트케이스'!$N$2:$N$103,"N/A")</f>
        <v/>
      </c>
    </row>
    <row r="33">
      <c r="A33" s="6" t="inlineStr">
        <is>
          <t>장기·한도</t>
        </is>
      </c>
      <c r="B33" s="6">
        <f>COUNTIF('테스트케이스'!$F$2:$F$103,A33)</f>
        <v/>
      </c>
      <c r="C33" s="6">
        <f>COUNTIFS('테스트케이스'!$F$2:$F$103,$A33,'테스트케이스'!$N$2:$N$103,"Pass")</f>
        <v/>
      </c>
      <c r="D33" s="6">
        <f>COUNTIFS('테스트케이스'!$F$2:$F$103,$A33,'테스트케이스'!$N$2:$N$103,"Fail")</f>
        <v/>
      </c>
      <c r="E33" s="6">
        <f>COUNTIFS('테스트케이스'!$F$2:$F$103,$A33,'테스트케이스'!$N$2:$N$103,"Blocked")</f>
        <v/>
      </c>
      <c r="F33" s="6">
        <f>B33-C33-D33-E33-COUNTIFS('테스트케이스'!$F$2:$F$103,$A33,'테스트케이스'!$N$2:$N$103,"N/A")</f>
        <v/>
      </c>
    </row>
    <row r="35">
      <c r="A35" s="11" t="inlineStr">
        <is>
          <t>자동화 구분별 분포(테스트 피라미드)</t>
        </is>
      </c>
    </row>
    <row r="36">
      <c r="A36" s="5" t="inlineStr">
        <is>
          <t>자동화 구분</t>
        </is>
      </c>
      <c r="B36" s="5" t="inlineStr">
        <is>
          <t>TC 수</t>
        </is>
      </c>
      <c r="C36" s="5" t="inlineStr">
        <is>
          <t>P1</t>
        </is>
      </c>
      <c r="D36" s="5" t="inlineStr">
        <is>
          <t>P2</t>
        </is>
      </c>
      <c r="E36" s="5" t="inlineStr">
        <is>
          <t>P3</t>
        </is>
      </c>
      <c r="F36" s="5" t="inlineStr">
        <is>
          <t>비율</t>
        </is>
      </c>
    </row>
    <row r="37">
      <c r="A37" s="6" t="inlineStr">
        <is>
          <t>API</t>
        </is>
      </c>
      <c r="B37" s="6">
        <f>COUNTIF('테스트케이스'!$G$2:$G$103,A37)</f>
        <v/>
      </c>
      <c r="C37" s="6">
        <f>COUNTIFS('테스트케이스'!$G$2:$G$103,$A37,'테스트케이스'!$H$2:$H$103,"P1")</f>
        <v/>
      </c>
      <c r="D37" s="6">
        <f>COUNTIFS('테스트케이스'!$G$2:$G$103,$A37,'테스트케이스'!$H$2:$H$103,"P2")</f>
        <v/>
      </c>
      <c r="E37" s="6">
        <f>COUNTIFS('테스트케이스'!$G$2:$G$103,$A37,'테스트케이스'!$H$2:$H$103,"P3")</f>
        <v/>
      </c>
      <c r="F37" s="9">
        <f>IF($B$20=0,0,B37/$B$20)</f>
        <v/>
      </c>
    </row>
    <row r="38">
      <c r="A38" s="6" t="inlineStr">
        <is>
          <t>UI</t>
        </is>
      </c>
      <c r="B38" s="6">
        <f>COUNTIF('테스트케이스'!$G$2:$G$103,A38)</f>
        <v/>
      </c>
      <c r="C38" s="6">
        <f>COUNTIFS('테스트케이스'!$G$2:$G$103,$A38,'테스트케이스'!$H$2:$H$103,"P1")</f>
        <v/>
      </c>
      <c r="D38" s="6">
        <f>COUNTIFS('테스트케이스'!$G$2:$G$103,$A38,'테스트케이스'!$H$2:$H$103,"P2")</f>
        <v/>
      </c>
      <c r="E38" s="6">
        <f>COUNTIFS('테스트케이스'!$G$2:$G$103,$A38,'테스트케이스'!$H$2:$H$103,"P3")</f>
        <v/>
      </c>
      <c r="F38" s="9">
        <f>IF($B$20=0,0,B38/$B$20)</f>
        <v/>
      </c>
    </row>
    <row r="39">
      <c r="A39" s="6" t="inlineStr">
        <is>
          <t>수동</t>
        </is>
      </c>
      <c r="B39" s="6">
        <f>COUNTIF('테스트케이스'!$G$2:$G$103,A39)</f>
        <v/>
      </c>
      <c r="C39" s="6">
        <f>COUNTIFS('테스트케이스'!$G$2:$G$103,$A39,'테스트케이스'!$H$2:$H$103,"P1")</f>
        <v/>
      </c>
      <c r="D39" s="6">
        <f>COUNTIFS('테스트케이스'!$G$2:$G$103,$A39,'테스트케이스'!$H$2:$H$103,"P2")</f>
        <v/>
      </c>
      <c r="E39" s="6">
        <f>COUNTIFS('테스트케이스'!$G$2:$G$103,$A39,'테스트케이스'!$H$2:$H$103,"P3")</f>
        <v/>
      </c>
      <c r="F39" s="9">
        <f>IF($B$20=0,0,B39/$B$20)</f>
        <v/>
      </c>
    </row>
    <row r="40">
      <c r="A40" s="10" t="inlineStr">
        <is>
          <t>※ API: pytest+httpx로 플랫폼·모의 서버 응답을 코드로 검증 / UI: LINE 앱 도달·표시, Developers Console 확인 필요 / 수동: 시간 경과·운영 통제·코드 리뷰. 상세는 계획서 8장</t>
        </is>
      </c>
    </row>
    <row r="42">
      <c r="A42" s="11" t="inlineStr">
        <is>
          <t>요구사항 커버리지</t>
        </is>
      </c>
    </row>
    <row r="43">
      <c r="A43" s="5" t="inlineStr">
        <is>
          <t>요구사항 ID</t>
        </is>
      </c>
      <c r="B43" s="5" t="inlineStr">
        <is>
          <t>연결 TC 수</t>
        </is>
      </c>
      <c r="C43" s="5" t="inlineStr">
        <is>
          <t>요구사항 기반</t>
        </is>
      </c>
      <c r="D43" s="5" t="inlineStr">
        <is>
          <t>Pass</t>
        </is>
      </c>
      <c r="E43" s="5" t="inlineStr">
        <is>
          <t>Fail</t>
        </is>
      </c>
      <c r="F43" s="5" t="inlineStr"/>
      <c r="G43" s="2" t="n"/>
      <c r="H43" s="2" t="n"/>
      <c r="I43" s="3" t="n"/>
      <c r="J43" s="5" t="inlineStr">
        <is>
          <t>요구사항</t>
        </is>
      </c>
    </row>
    <row r="44" ht="77" customHeight="1">
      <c r="A44" s="6" t="inlineStr">
        <is>
          <t>REQ-01</t>
        </is>
      </c>
      <c r="B44" s="6">
        <f>COUNTIF('테스트케이스'!$D$2:$D$103,"*"&amp;A44&amp;"*")</f>
        <v/>
      </c>
      <c r="C44" s="6">
        <f>COUNTIFS('테스트케이스'!$D$2:$D$103,"*"&amp;A44&amp;"*",'테스트케이스'!$E$2:$E$103,"요구사항")</f>
        <v/>
      </c>
      <c r="D44" s="6">
        <f>COUNTIFS('테스트케이스'!$D$2:$D$103,"*"&amp;A44&amp;"*",'테스트케이스'!$N$2:$N$103,"Pass")</f>
        <v/>
      </c>
      <c r="E44" s="6">
        <f>COUNTIFS('테스트케이스'!$D$2:$D$103,"*"&amp;A44&amp;"*",'테스트케이스'!$N$2:$N$103,"Fail")</f>
        <v/>
      </c>
      <c r="F44" s="12" t="n"/>
      <c r="G44" s="2" t="n"/>
      <c r="H44" s="2" t="n"/>
      <c r="I44" s="3" t="n"/>
      <c r="J44" s="12" t="inlineStr">
        <is>
          <t>모든 Messaging API 엔드포인트는 Authorization: Bearer {channel access token} 헤더가 필수이며, 유효한 토큰이 없으면 401 Unauthorized를 반환한다. 권한이 없는 리소스는 403 Forbidden이다.</t>
        </is>
      </c>
    </row>
    <row r="45" ht="107" customHeight="1">
      <c r="A45" s="6" t="inlineStr">
        <is>
          <t>REQ-02</t>
        </is>
      </c>
      <c r="B45" s="6">
        <f>COUNTIF('테스트케이스'!$D$2:$D$103,"*"&amp;A45&amp;"*")</f>
        <v/>
      </c>
      <c r="C45" s="6">
        <f>COUNTIFS('테스트케이스'!$D$2:$D$103,"*"&amp;A45&amp;"*",'테스트케이스'!$E$2:$E$103,"요구사항")</f>
        <v/>
      </c>
      <c r="D45" s="6">
        <f>COUNTIFS('테스트케이스'!$D$2:$D$103,"*"&amp;A45&amp;"*",'테스트케이스'!$N$2:$N$103,"Pass")</f>
        <v/>
      </c>
      <c r="E45" s="6">
        <f>COUNTIFS('테스트케이스'!$D$2:$D$103,"*"&amp;A45&amp;"*",'테스트케이스'!$N$2:$N$103,"Fail")</f>
        <v/>
      </c>
      <c r="F45" s="12" t="n"/>
      <c r="G45" s="2" t="n"/>
      <c r="H45" s="2" t="n"/>
      <c r="I45" s="3" t="n"/>
      <c r="J45" s="12" t="inlineStr">
        <is>
          <t>채널 액세스 토큰은 4종이다. v2.1(사용자 지정 만료, 최대 30일, 채널당 30개, 초과 발급 요청은 거부), stateless(15분, 발급 수 무제한, 폐기 불가), short-lived(30일, 30개, 초과 시 가장 오래된 토큰 폐기), long-lived(무기한, 1개, 재발급 시 기존 토큰 무효). 만료된 토큰은 발급 수에 포함되지 않는다.</t>
        </is>
      </c>
    </row>
    <row r="46" ht="152" customHeight="1">
      <c r="A46" s="6" t="inlineStr">
        <is>
          <t>REQ-03</t>
        </is>
      </c>
      <c r="B46" s="6">
        <f>COUNTIF('테스트케이스'!$D$2:$D$103,"*"&amp;A46&amp;"*")</f>
        <v/>
      </c>
      <c r="C46" s="6">
        <f>COUNTIFS('테스트케이스'!$D$2:$D$103,"*"&amp;A46&amp;"*",'테스트케이스'!$E$2:$E$103,"요구사항")</f>
        <v/>
      </c>
      <c r="D46" s="6">
        <f>COUNTIFS('테스트케이스'!$D$2:$D$103,"*"&amp;A46&amp;"*",'테스트케이스'!$N$2:$N$103,"Pass")</f>
        <v/>
      </c>
      <c r="E46" s="6">
        <f>COUNTIFS('테스트케이스'!$D$2:$D$103,"*"&amp;A46&amp;"*",'테스트케이스'!$N$2:$N$103,"Fail")</f>
        <v/>
      </c>
      <c r="F46" s="12" t="n"/>
      <c r="G46" s="2" t="n"/>
      <c r="H46" s="2" t="n"/>
      <c r="I46" s="3" t="n"/>
      <c r="J46" s="12" t="inlineStr">
        <is>
          <t>stateless 토큰은 POST /oauth2/v3/token에 grant_type=client_credentials와 client_id·client_secret 또는 JWT assertion(생성 후 30분 내 만료)으로 발급하며 응답은 token_type/access_token/expires_in이다. 잘못된 채널 ID·secret·JWT → 400, 미등록 서명 키 → 404. v2.1 검증(GET /oauth2/v2.1/verify)은 만료·형식 오류·미존재 토큰에 400을 반환하고, 폐기(revoke)된 토큰은 더 이상 사용할 수 없다.</t>
        </is>
      </c>
    </row>
    <row r="47" ht="107" customHeight="1">
      <c r="A47" s="6" t="inlineStr">
        <is>
          <t>REQ-04</t>
        </is>
      </c>
      <c r="B47" s="6">
        <f>COUNTIF('테스트케이스'!$D$2:$D$103,"*"&amp;A47&amp;"*")</f>
        <v/>
      </c>
      <c r="C47" s="6">
        <f>COUNTIFS('테스트케이스'!$D$2:$D$103,"*"&amp;A47&amp;"*",'테스트케이스'!$E$2:$E$103,"요구사항")</f>
        <v/>
      </c>
      <c r="D47" s="6">
        <f>COUNTIFS('테스트케이스'!$D$2:$D$103,"*"&amp;A47&amp;"*",'테스트케이스'!$N$2:$N$103,"Pass")</f>
        <v/>
      </c>
      <c r="E47" s="6">
        <f>COUNTIFS('테스트케이스'!$D$2:$D$103,"*"&amp;A47&amp;"*",'테스트케이스'!$N$2:$N$103,"Fail")</f>
        <v/>
      </c>
      <c r="F47" s="12" t="n"/>
      <c r="G47" s="2" t="n"/>
      <c r="H47" s="2" t="n"/>
      <c r="I47" s="3" t="n"/>
      <c r="J47" s="12" t="inlineStr">
        <is>
          <t>HTTP 상태 코드는 RFC 7231을 따르며 200 성공, 400 요청 문제, 401 토큰 무효, 403 권한 없음, 404 리소스 없음(프로필 미조회 포함), 409 동일 리트라이 키 수락됨, 410 더 이상 사용 불가, 413 요청 2MB 초과, 415 미지원 미디어 타입, 429 레이트리밋·월 한도 초과, 500 내부 오류로 정의된다.</t>
        </is>
      </c>
    </row>
    <row r="48" ht="242" customHeight="1">
      <c r="A48" s="6" t="inlineStr">
        <is>
          <t>REQ-05</t>
        </is>
      </c>
      <c r="B48" s="6">
        <f>COUNTIF('테스트케이스'!$D$2:$D$103,"*"&amp;A48&amp;"*")</f>
        <v/>
      </c>
      <c r="C48" s="6">
        <f>COUNTIFS('테스트케이스'!$D$2:$D$103,"*"&amp;A48&amp;"*",'테스트케이스'!$E$2:$E$103,"요구사항")</f>
        <v/>
      </c>
      <c r="D48" s="6">
        <f>COUNTIFS('테스트케이스'!$D$2:$D$103,"*"&amp;A48&amp;"*",'테스트케이스'!$N$2:$N$103,"Pass")</f>
        <v/>
      </c>
      <c r="E48" s="6">
        <f>COUNTIFS('테스트케이스'!$D$2:$D$103,"*"&amp;A48&amp;"*",'테스트케이스'!$N$2:$N$103,"Fail")</f>
        <v/>
      </c>
      <c r="F48" s="12" t="n"/>
      <c r="G48" s="2" t="n"/>
      <c r="H48" s="2" t="n"/>
      <c r="I48" s="3" t="n"/>
      <c r="J48" s="12" t="inlineStr">
        <is>
          <t>오류 응답 본문은 message(필수)와 details[](조건부; 각 항목 message·property)로 구성된다. 'The request body has X error(s)', 'Invalid reply token', 'The request body could not be parsed as JSON (line, column)', 'The content type, XXX, is not supported', 'Authentication failed due to the following reason: XXX', 'The API rate limit has been exceeded. Try again later.', 'You have reached your monthly limit.', 'Not found' 등이 정의된 메시지다. 모든 응답에 X-Line-Request-Id가 포함되고, 리트라이 키로 이미 수락된 요청에는 X-Line-Accepted-Request-Id가 추가된다.</t>
        </is>
      </c>
    </row>
    <row r="49" ht="137" customHeight="1">
      <c r="A49" s="6" t="inlineStr">
        <is>
          <t>REQ-06</t>
        </is>
      </c>
      <c r="B49" s="6">
        <f>COUNTIF('테스트케이스'!$D$2:$D$103,"*"&amp;A49&amp;"*")</f>
        <v/>
      </c>
      <c r="C49" s="6">
        <f>COUNTIFS('테스트케이스'!$D$2:$D$103,"*"&amp;A49&amp;"*",'테스트케이스'!$E$2:$E$103,"요구사항")</f>
        <v/>
      </c>
      <c r="D49" s="6">
        <f>COUNTIFS('테스트케이스'!$D$2:$D$103,"*"&amp;A49&amp;"*",'테스트케이스'!$N$2:$N$103,"Pass")</f>
        <v/>
      </c>
      <c r="E49" s="6">
        <f>COUNTIFS('테스트케이스'!$D$2:$D$103,"*"&amp;A49&amp;"*",'테스트케이스'!$N$2:$N$103,"Fail")</f>
        <v/>
      </c>
      <c r="F49" s="12" t="n"/>
      <c r="G49" s="2" t="n"/>
      <c r="H49" s="2" t="n"/>
      <c r="I49" s="3" t="n"/>
      <c r="J49" s="12" t="inlineStr">
        <is>
          <t>응답 메시지(POST /v2/bot/message/reply)는 웹훅으로 받은 replyToken으로 보내며 토큰은 1회만, 웹훅 수신 후 1분 이내에 사용해야 한다(초과 시 동작 보장 안 됨). 재전송 웹훅의 토큰은 원본 토큰이 미사용이고 이벤트 발생 20분 이내일 때만 유효하다. messages는 최대 5개. 무효·만료·사용된 토큰은 400 'Invalid reply token'. 성공 시 sentMessages[].id(조건부 quoteToken)를 반환하고, 오류 시 메시지는 발송되지 않는다.</t>
        </is>
      </c>
    </row>
    <row r="50" ht="167" customHeight="1">
      <c r="A50" s="6" t="inlineStr">
        <is>
          <t>REQ-07</t>
        </is>
      </c>
      <c r="B50" s="6">
        <f>COUNTIF('테스트케이스'!$D$2:$D$103,"*"&amp;A50&amp;"*")</f>
        <v/>
      </c>
      <c r="C50" s="6">
        <f>COUNTIFS('테스트케이스'!$D$2:$D$103,"*"&amp;A50&amp;"*",'테스트케이스'!$E$2:$E$103,"요구사항")</f>
        <v/>
      </c>
      <c r="D50" s="6">
        <f>COUNTIFS('테스트케이스'!$D$2:$D$103,"*"&amp;A50&amp;"*",'테스트케이스'!$N$2:$N$103,"Pass")</f>
        <v/>
      </c>
      <c r="E50" s="6">
        <f>COUNTIFS('테스트케이스'!$D$2:$D$103,"*"&amp;A50&amp;"*",'테스트케이스'!$N$2:$N$103,"Fail")</f>
        <v/>
      </c>
      <c r="F50" s="12" t="n"/>
      <c r="G50" s="2" t="n"/>
      <c r="H50" s="2" t="n"/>
      <c r="I50" s="3" t="n"/>
      <c r="J50" s="12" t="inlineStr">
        <is>
          <t>푸시 메시지(POST /v2/bot/message/push)는 to(userId/groupId/roomId 1개), messages(최대 5개), notificationDisabled(기본 false), customAggregationUnits(최대 1개·30자·[a-zA-Z0-9_]), X-Line-Retry-Key(선택)를 받는다. 타 프로바이더 채널의 userId, 미참여 그룹·룸, 무효 메시지 객체, 무효 유닛명은 400. 계정 삭제·차단·미친구 사용자에게는 200이 반환되지만 미도달이며, 미친구라도 7일 내 1:1 메시지를 보낸 사용자에게는 발송 가능하다.</t>
        </is>
      </c>
    </row>
    <row r="51" ht="92" customHeight="1">
      <c r="A51" s="6" t="inlineStr">
        <is>
          <t>REQ-08</t>
        </is>
      </c>
      <c r="B51" s="6">
        <f>COUNTIF('테스트케이스'!$D$2:$D$103,"*"&amp;A51&amp;"*")</f>
        <v/>
      </c>
      <c r="C51" s="6">
        <f>COUNTIFS('테스트케이스'!$D$2:$D$103,"*"&amp;A51&amp;"*",'테스트케이스'!$E$2:$E$103,"요구사항")</f>
        <v/>
      </c>
      <c r="D51" s="6">
        <f>COUNTIFS('테스트케이스'!$D$2:$D$103,"*"&amp;A51&amp;"*",'테스트케이스'!$N$2:$N$103,"Pass")</f>
        <v/>
      </c>
      <c r="E51" s="6">
        <f>COUNTIFS('테스트케이스'!$D$2:$D$103,"*"&amp;A51&amp;"*",'테스트케이스'!$N$2:$N$103,"Fail")</f>
        <v/>
      </c>
      <c r="F51" s="12" t="n"/>
      <c r="G51" s="2" t="n"/>
      <c r="H51" s="2" t="n"/>
      <c r="I51" s="3" t="n"/>
      <c r="J51" s="12" t="inlineStr">
        <is>
          <t>멀티캐스트(POST /v2/bot/message/multicast)는 to에 userId 배열 최대 500개(그룹·룸 불가), messages 최대 5개를 받고 200과 빈 객체를 반환한다. 오류 시 누구에게도 발송되지 않는다. 삭제·차단·미친구·타채널 ID는 200이지만 미도달. 레이트리밋 200 req/s.</t>
        </is>
      </c>
    </row>
    <row r="52" ht="77" customHeight="1">
      <c r="A52" s="6" t="inlineStr">
        <is>
          <t>REQ-09</t>
        </is>
      </c>
      <c r="B52" s="6">
        <f>COUNTIF('테스트케이스'!$D$2:$D$103,"*"&amp;A52&amp;"*")</f>
        <v/>
      </c>
      <c r="C52" s="6">
        <f>COUNTIFS('테스트케이스'!$D$2:$D$103,"*"&amp;A52&amp;"*",'테스트케이스'!$E$2:$E$103,"요구사항")</f>
        <v/>
      </c>
      <c r="D52" s="6">
        <f>COUNTIFS('테스트케이스'!$D$2:$D$103,"*"&amp;A52&amp;"*",'테스트케이스'!$N$2:$N$103,"Pass")</f>
        <v/>
      </c>
      <c r="E52" s="6">
        <f>COUNTIFS('테스트케이스'!$D$2:$D$103,"*"&amp;A52&amp;"*",'테스트케이스'!$N$2:$N$103,"Fail")</f>
        <v/>
      </c>
      <c r="F52" s="12" t="n"/>
      <c r="G52" s="2" t="n"/>
      <c r="H52" s="2" t="n"/>
      <c r="I52" s="3" t="n"/>
      <c r="J52" s="12" t="inlineStr">
        <is>
          <t>브로드캐스트(POST /v2/bot/message/broadcast)는 모든 친구에게 발송하며 messages 최대 5개, 레이트리밋 60 req/h, 응답 200 빈 객체. 무효 메시지 객체 400, 동일 리트라이 키 409, 한도 초과 429.</t>
        </is>
      </c>
    </row>
    <row r="53" ht="227" customHeight="1">
      <c r="A53" s="6" t="inlineStr">
        <is>
          <t>REQ-10</t>
        </is>
      </c>
      <c r="B53" s="6">
        <f>COUNTIF('테스트케이스'!$D$2:$D$103,"*"&amp;A53&amp;"*")</f>
        <v/>
      </c>
      <c r="C53" s="6">
        <f>COUNTIFS('테스트케이스'!$D$2:$D$103,"*"&amp;A53&amp;"*",'테스트케이스'!$E$2:$E$103,"요구사항")</f>
        <v/>
      </c>
      <c r="D53" s="6">
        <f>COUNTIFS('테스트케이스'!$D$2:$D$103,"*"&amp;A53&amp;"*",'테스트케이스'!$N$2:$N$103,"Pass")</f>
        <v/>
      </c>
      <c r="E53" s="6">
        <f>COUNTIFS('테스트케이스'!$D$2:$D$103,"*"&amp;A53&amp;"*",'테스트케이스'!$N$2:$N$103,"Fail")</f>
        <v/>
      </c>
      <c r="F53" s="12" t="n"/>
      <c r="G53" s="2" t="n"/>
      <c r="H53" s="2" t="n"/>
      <c r="I53" s="3" t="n"/>
      <c r="J53" s="12" t="inlineStr">
        <is>
          <t>내로우캐스트(POST /v2/bot/message/narrowcast)는 비동기로 202를 반환한다. 속성 조건 사용 시 타깃 리치 100명 미만이면 403, 최종 수신자 50명 미만이면 202 후 발송 단계에서 실패한다. 상태는 GET /v2/bot/message/progress/narrowcast?requestId=로 조회하며 phase는 waiting/sending/succeeded/failed, 실패 시 failedDescription·errorCode(1 내부 오류, 2 수신자 부족, 3 리트라이 충돌, 4 50명 미만 오디언스, 5 부분 발송 금지로 취소). acceptedTime 기준 14일(336시간) 경과 후 404, 무효 requestId 400, 내로우캐스트가 아닌 requestId 404. limit 객체(max/upToRemainingQuota/forbidPartialDelivery)로 발송 수를 제한한다.</t>
        </is>
      </c>
    </row>
    <row r="54" ht="197" customHeight="1">
      <c r="A54" s="6" t="inlineStr">
        <is>
          <t>REQ-11</t>
        </is>
      </c>
      <c r="B54" s="6">
        <f>COUNTIF('테스트케이스'!$D$2:$D$103,"*"&amp;A54&amp;"*")</f>
        <v/>
      </c>
      <c r="C54" s="6">
        <f>COUNTIFS('테스트케이스'!$D$2:$D$103,"*"&amp;A54&amp;"*",'테스트케이스'!$E$2:$E$103,"요구사항")</f>
        <v/>
      </c>
      <c r="D54" s="6">
        <f>COUNTIFS('테스트케이스'!$D$2:$D$103,"*"&amp;A54&amp;"*",'테스트케이스'!$N$2:$N$103,"Pass")</f>
        <v/>
      </c>
      <c r="E54" s="6">
        <f>COUNTIFS('테스트케이스'!$D$2:$D$103,"*"&amp;A54&amp;"*",'테스트케이스'!$N$2:$N$103,"Fail")</f>
        <v/>
      </c>
      <c r="F54" s="12" t="n"/>
      <c r="G54" s="2" t="n"/>
      <c r="H54" s="2" t="n"/>
      <c r="I54" s="3" t="n"/>
      <c r="J54" s="12" t="inlineStr">
        <is>
          <t>X-Line-Retry-Key(16진수 UUID)는 push/multicast/narrowcast/broadcast에서 지원된다. 같은 키의 요청이 이미 수락됐으면 24시간 내 재요청은 409와 X-Line-Accepted-Request-Id(원 요청 ID), message 'The retry key is already accepted'를 반환하며 push는 원 요청과 같은 sentMessages를 포함한다. 24시간이 지나면 같은 키도 신규 요청으로 처리돼 중복 발송된다. 미지원 엔드포인트에 키를 지정하면 400. 재시도 판단: 500·타임아웃만 재시도, 2xx·409·4xx는 재시도 금지. 재시도도 레이트리밋에 1회로 집계되며 지수 백오프를 권장한다. 키 없이 보낸 첫 요청은 재시도할 수 없다.</t>
        </is>
      </c>
    </row>
    <row r="55" ht="212" customHeight="1">
      <c r="A55" s="6" t="inlineStr">
        <is>
          <t>REQ-12</t>
        </is>
      </c>
      <c r="B55" s="6">
        <f>COUNTIF('테스트케이스'!$D$2:$D$103,"*"&amp;A55&amp;"*")</f>
        <v/>
      </c>
      <c r="C55" s="6">
        <f>COUNTIFS('테스트케이스'!$D$2:$D$103,"*"&amp;A55&amp;"*",'테스트케이스'!$E$2:$E$103,"요구사항")</f>
        <v/>
      </c>
      <c r="D55" s="6">
        <f>COUNTIFS('테스트케이스'!$D$2:$D$103,"*"&amp;A55&amp;"*",'테스트케이스'!$N$2:$N$103,"Pass")</f>
        <v/>
      </c>
      <c r="E55" s="6">
        <f>COUNTIFS('테스트케이스'!$D$2:$D$103,"*"&amp;A55&amp;"*",'테스트케이스'!$N$2:$N$103,"Fail")</f>
        <v/>
      </c>
      <c r="F55" s="12" t="n"/>
      <c r="G55" s="2" t="n"/>
      <c r="H55" s="2" t="n"/>
      <c r="I55" s="3" t="n"/>
      <c r="J55" s="12" t="inlineStr">
        <is>
          <t>messages 배열은 1~5개의 메시지 객체다. 텍스트 메시지 text는 최대 5000자이며 UTF-16 코드 유닛 단위로 센다(서로게이트 쌍 이모지는 2자, LINE 이모지 $는 대체 텍스트로 치환 후 계산). emojis 최대 20개, index가 $ 위치와 다르면 400. quickReply.items 최대 13개. sender.name 최대 20자('LINE' 등 금지어), sender.iconUrl은 HTTPS·PNG·1:1·1MB 이하·2000자. 빈 text는 400 'May not be empty', 미정의 type은 400. validate 엔드포인트(POST /v2/bot/message/validate/{reply|push|multicast|narrowcast|broadcast})로 발송 없이 같은 검증을 받을 수 있다(정상 200 빈 객체).</t>
        </is>
      </c>
    </row>
    <row r="56" ht="137" customHeight="1">
      <c r="A56" s="6" t="inlineStr">
        <is>
          <t>REQ-13</t>
        </is>
      </c>
      <c r="B56" s="6">
        <f>COUNTIF('테스트케이스'!$D$2:$D$103,"*"&amp;A56&amp;"*")</f>
        <v/>
      </c>
      <c r="C56" s="6">
        <f>COUNTIFS('테스트케이스'!$D$2:$D$103,"*"&amp;A56&amp;"*",'테스트케이스'!$E$2:$E$103,"요구사항")</f>
        <v/>
      </c>
      <c r="D56" s="6">
        <f>COUNTIFS('테스트케이스'!$D$2:$D$103,"*"&amp;A56&amp;"*",'테스트케이스'!$N$2:$N$103,"Pass")</f>
        <v/>
      </c>
      <c r="E56" s="6">
        <f>COUNTIFS('테스트케이스'!$D$2:$D$103,"*"&amp;A56&amp;"*",'테스트케이스'!$N$2:$N$103,"Fail")</f>
        <v/>
      </c>
      <c r="F56" s="12" t="n"/>
      <c r="G56" s="2" t="n"/>
      <c r="H56" s="2" t="n"/>
      <c r="I56" s="3" t="n"/>
      <c r="J56" s="12" t="inlineStr">
        <is>
          <t>웹훅은 LINE 플랫폼이 채널에 설정된 HTTPS URL로 보내는 POST 요청이다. 헤더 x-line-signature(필드명 대소문자는 예고 없이 바뀔 수 있어 구분 없이 처리), 본문 destination(봇 userId, U[0-9a-f]{32})과 events[] (통신 확인용으로 빈 배열일 수 있음). 봇서버는 수신 후 200을 반환해야 하며, 장기간 수신 실패 시 플랫폼이 웹훅 전송을 중단할 수 있다. 플랫폼 IP는 비공개이므로 IP 제한 대신 서명 검증을 사용한다.</t>
        </is>
      </c>
    </row>
    <row r="57" ht="107" customHeight="1">
      <c r="A57" s="6" t="inlineStr">
        <is>
          <t>REQ-14</t>
        </is>
      </c>
      <c r="B57" s="6">
        <f>COUNTIF('테스트케이스'!$D$2:$D$103,"*"&amp;A57&amp;"*")</f>
        <v/>
      </c>
      <c r="C57" s="6">
        <f>COUNTIFS('테스트케이스'!$D$2:$D$103,"*"&amp;A57&amp;"*",'테스트케이스'!$E$2:$E$103,"요구사항")</f>
        <v/>
      </c>
      <c r="D57" s="6">
        <f>COUNTIFS('테스트케이스'!$D$2:$D$103,"*"&amp;A57&amp;"*",'테스트케이스'!$N$2:$N$103,"Pass")</f>
        <v/>
      </c>
      <c r="E57" s="6">
        <f>COUNTIFS('테스트케이스'!$D$2:$D$103,"*"&amp;A57&amp;"*",'테스트케이스'!$N$2:$N$103,"Fail")</f>
        <v/>
      </c>
      <c r="F57" s="12" t="n"/>
      <c r="G57" s="2" t="n"/>
      <c r="H57" s="2" t="n"/>
      <c r="I57" s="3" t="n"/>
      <c r="J57" s="12" t="inlineStr">
        <is>
          <t>서명 검증: 요청 본문 원문 문자열을 입력, 채널 secret을 키로 HMAC-SHA256 다이제스트를 Base64 인코딩한 값이 x-line-signature와 일치해야 한다. 불일치·누락 시 이벤트를 처리하지 않고 오류로 종료한다. 검증 전 본문·서명을 변형(역직렬화·이스케이프·치환)하면 안 된다. secret 재발급 시 기존 secret은 무효가 된다.</t>
        </is>
      </c>
    </row>
    <row r="58" ht="167" customHeight="1">
      <c r="A58" s="6" t="inlineStr">
        <is>
          <t>REQ-15</t>
        </is>
      </c>
      <c r="B58" s="6">
        <f>COUNTIF('테스트케이스'!$D$2:$D$103,"*"&amp;A58&amp;"*")</f>
        <v/>
      </c>
      <c r="C58" s="6">
        <f>COUNTIFS('테스트케이스'!$D$2:$D$103,"*"&amp;A58&amp;"*",'테스트케이스'!$E$2:$E$103,"요구사항")</f>
        <v/>
      </c>
      <c r="D58" s="6">
        <f>COUNTIFS('테스트케이스'!$D$2:$D$103,"*"&amp;A58&amp;"*",'테스트케이스'!$N$2:$N$103,"Pass")</f>
        <v/>
      </c>
      <c r="E58" s="6">
        <f>COUNTIFS('테스트케이스'!$D$2:$D$103,"*"&amp;A58&amp;"*",'테스트케이스'!$N$2:$N$103,"Fail")</f>
        <v/>
      </c>
      <c r="F58" s="12" t="n"/>
      <c r="G58" s="2" t="n"/>
      <c r="H58" s="2" t="n"/>
      <c r="I58" s="3" t="n"/>
      <c r="J58" s="12" t="inlineStr">
        <is>
          <t>웹훅 이벤트 공통 속성: type, mode(active/standby — standby면 replyToken이 없고 봇은 메시지를 보내면 안 됨), timestamp(발생 시각 ms, 재전송이어도 원 발생 시각), source(user/group/room; 그룹·룸의 userId는 message 이벤트에만), webhookEventId(ULID, 이벤트 고유 식별자), deliveryContext.isRedelivery(true/false). message 이벤트에는 replyToken, message.id, quoteToken, 인용 시 quotedMessageId가 포함된다.</t>
        </is>
      </c>
    </row>
    <row r="59" ht="152" customHeight="1">
      <c r="A59" s="6" t="inlineStr">
        <is>
          <t>REQ-16</t>
        </is>
      </c>
      <c r="B59" s="6">
        <f>COUNTIF('테스트케이스'!$D$2:$D$103,"*"&amp;A59&amp;"*")</f>
        <v/>
      </c>
      <c r="C59" s="6">
        <f>COUNTIFS('테스트케이스'!$D$2:$D$103,"*"&amp;A59&amp;"*",'테스트케이스'!$E$2:$E$103,"요구사항")</f>
        <v/>
      </c>
      <c r="D59" s="6">
        <f>COUNTIFS('테스트케이스'!$D$2:$D$103,"*"&amp;A59&amp;"*",'테스트케이스'!$N$2:$N$103,"Pass")</f>
        <v/>
      </c>
      <c r="E59" s="6">
        <f>COUNTIFS('테스트케이스'!$D$2:$D$103,"*"&amp;A59&amp;"*",'테스트케이스'!$N$2:$N$103,"Fail")</f>
        <v/>
      </c>
      <c r="F59" s="12" t="n"/>
      <c r="G59" s="2" t="n"/>
      <c r="H59" s="2" t="n"/>
      <c r="I59" s="3" t="n"/>
      <c r="J59" s="12" t="inlineStr">
        <is>
          <t>웹훅 재전송은 콘솔에서 활성화했을 때 봇서버가 2xx를 반환하지 않으면 비공개된 횟수·간격으로 다시 보낸다. 재전송 이벤트는 deliveryContext.isRedelivery만 true이고 webhookEventId·replyToken 등은 동일하다. 네트워크 사유로 같은 이벤트가 중복 도착할 수 있으므로 webhookEventId로 중복을 감지하고, 순서가 역전될 수 있으므로 timestamp로 맥락을 판단해야 한다. 재전송은 전달을 보장하지 않으며 급증 시 강제 비활성화될 수 있다. 전송 실패 원인·통계는 콘솔에서 확인한다.</t>
        </is>
      </c>
    </row>
    <row r="60" ht="197" customHeight="1">
      <c r="A60" s="6" t="inlineStr">
        <is>
          <t>REQ-17</t>
        </is>
      </c>
      <c r="B60" s="6">
        <f>COUNTIF('테스트케이스'!$D$2:$D$103,"*"&amp;A60&amp;"*")</f>
        <v/>
      </c>
      <c r="C60" s="6">
        <f>COUNTIFS('테스트케이스'!$D$2:$D$103,"*"&amp;A60&amp;"*",'테스트케이스'!$E$2:$E$103,"요구사항")</f>
        <v/>
      </c>
      <c r="D60" s="6">
        <f>COUNTIFS('테스트케이스'!$D$2:$D$103,"*"&amp;A60&amp;"*",'테스트케이스'!$N$2:$N$103,"Pass")</f>
        <v/>
      </c>
      <c r="E60" s="6">
        <f>COUNTIFS('테스트케이스'!$D$2:$D$103,"*"&amp;A60&amp;"*",'테스트케이스'!$N$2:$N$103,"Fail")</f>
        <v/>
      </c>
      <c r="F60" s="12" t="n"/>
      <c r="G60" s="2" t="n"/>
      <c r="H60" s="2" t="n"/>
      <c r="I60" s="3" t="n"/>
      <c r="J60" s="12" t="inlineStr">
        <is>
          <t>웹훅 설정 API: PUT /v2/bot/channel/webhook/endpoint는 유효한 HTTPS URL(500자 이하)만 받고 무효 URL은 400, 반영까지 캐시로 최대 1분이 걸린다(1,000 req/min). GET …/endpoint로 설정값을 조회한다. POST /v2/bot/channel/webhook/test는 endpoint를 지정하면 그 URL을 검증 후 테스트 이벤트를 보내고, 미지정이면 설정된 URL로 보내며 설정이 없으면 404. 응답 success/timestamp/statusCode/reason(OK, COULD_NOT_CONNECT, REQUEST_TIMEOUT, ERROR_STATUS_CODE, UNCLASSIFIED)/detail. 60 req/h.</t>
        </is>
      </c>
    </row>
    <row r="61" ht="257" customHeight="1">
      <c r="A61" s="6" t="inlineStr">
        <is>
          <t>REQ-18</t>
        </is>
      </c>
      <c r="B61" s="6">
        <f>COUNTIF('테스트케이스'!$D$2:$D$103,"*"&amp;A61&amp;"*")</f>
        <v/>
      </c>
      <c r="C61" s="6">
        <f>COUNTIFS('테스트케이스'!$D$2:$D$103,"*"&amp;A61&amp;"*",'테스트케이스'!$E$2:$E$103,"요구사항")</f>
        <v/>
      </c>
      <c r="D61" s="6">
        <f>COUNTIFS('테스트케이스'!$D$2:$D$103,"*"&amp;A61&amp;"*",'테스트케이스'!$N$2:$N$103,"Pass")</f>
        <v/>
      </c>
      <c r="E61" s="6">
        <f>COUNTIFS('테스트케이스'!$D$2:$D$103,"*"&amp;A61&amp;"*",'테스트케이스'!$N$2:$N$103,"Fail")</f>
        <v/>
      </c>
      <c r="F61" s="12" t="n"/>
      <c r="G61" s="2" t="n"/>
      <c r="H61" s="2" t="n"/>
      <c r="I61" s="3" t="n"/>
      <c r="J61" s="12" t="inlineStr">
        <is>
          <t>레이트리밋은 엔드포인트(HTTP 메서드가 다르면 별개)×채널 단위 토큰 버킷으로 적용되며 URL 파라미터·본문·IP와 무관하다. 초과 시 429 'The API rate limit has been exceeded. Try again later.'. 기본 2,000 req/s, multicast 200 req/s, broadcast·narrowcast·webhook test 60 req/h, 로딩 애니메이션 100 req/s, short-lived 토큰 발급 370 req/s, webhook endpoint 설정·조회 1,000 req/min. 월 메시지 한도(요금제별 무료 건수+추가 한도) 초과 시에도 429 'You have reached your monthly limit.'이며 한도는 GET /v2/bot/message/quota, 사용량은 GET …/quota/consumption으로 조회한다. 개발 가이드라인상 레이트리밋을 넘는 요청·부하 테스트·동일 사용자 대량 발송·무효 userId 요청은 금지다.</t>
        </is>
      </c>
    </row>
    <row r="62" ht="122" customHeight="1">
      <c r="A62" s="6" t="inlineStr">
        <is>
          <t>REQ-19</t>
        </is>
      </c>
      <c r="B62" s="6">
        <f>COUNTIF('테스트케이스'!$D$2:$D$103,"*"&amp;A62&amp;"*")</f>
        <v/>
      </c>
      <c r="C62" s="6">
        <f>COUNTIFS('테스트케이스'!$D$2:$D$103,"*"&amp;A62&amp;"*",'테스트케이스'!$E$2:$E$103,"요구사항")</f>
        <v/>
      </c>
      <c r="D62" s="6">
        <f>COUNTIFS('테스트케이스'!$D$2:$D$103,"*"&amp;A62&amp;"*",'테스트케이스'!$N$2:$N$103,"Pass")</f>
        <v/>
      </c>
      <c r="E62" s="6">
        <f>COUNTIFS('테스트케이스'!$D$2:$D$103,"*"&amp;A62&amp;"*",'테스트케이스'!$N$2:$N$103,"Fail")</f>
        <v/>
      </c>
      <c r="F62" s="12" t="n"/>
      <c r="G62" s="2" t="n"/>
      <c r="H62" s="2" t="n"/>
      <c r="I62" s="3" t="n"/>
      <c r="J62" s="12" t="inlineStr">
        <is>
          <t>팔로워 ID 목록(GET /v2/bot/followers/ids)은 verified·premium 계정만 사용 가능(아니면 403). limit은 기본 300, 최대 1000. 남은 ID가 있으면 next(continuation token, 24시간 후 만료)를 반환하고 없으면 생략한다. 다음 페이지는 start=next로 요청하며 무효·만료 토큰은 400. 삭제·차단·미동의 사용자는 제외되므로 userIds 수가 limit보다 적을 수 있다.</t>
        </is>
      </c>
    </row>
    <row r="63" ht="182" customHeight="1">
      <c r="A63" s="6" t="inlineStr">
        <is>
          <t>REQ-20</t>
        </is>
      </c>
      <c r="B63" s="6">
        <f>COUNTIF('테스트케이스'!$D$2:$D$103,"*"&amp;A63&amp;"*")</f>
        <v/>
      </c>
      <c r="C63" s="6">
        <f>COUNTIFS('테스트케이스'!$D$2:$D$103,"*"&amp;A63&amp;"*",'테스트케이스'!$E$2:$E$103,"요구사항")</f>
        <v/>
      </c>
      <c r="D63" s="6">
        <f>COUNTIFS('테스트케이스'!$D$2:$D$103,"*"&amp;A63&amp;"*",'테스트케이스'!$N$2:$N$103,"Pass")</f>
        <v/>
      </c>
      <c r="E63" s="6">
        <f>COUNTIFS('테스트케이스'!$D$2:$D$103,"*"&amp;A63&amp;"*",'테스트케이스'!$N$2:$N$103,"Fail")</f>
        <v/>
      </c>
      <c r="F63" s="12" t="n"/>
      <c r="G63" s="2" t="n"/>
      <c r="H63" s="2" t="n"/>
      <c r="I63" s="3" t="n"/>
      <c r="J63" s="12" t="inlineStr">
        <is>
          <t>프로필(GET /v2/bot/profile/{userId})은 친구이거나 메시지를 보낸(차단 제외) 사용자만 조회 가능하며 응답은 displayName/userId와 조건부 language/pictureUrl/statusMessage다. 형식 오류 userId 400, 미존재·미동의·미친구·차단 404 'Not found'. 콘텐츠(GET api-data.line.me/v2/bot/message/{messageId}/content)는 contentProvider.type이 line일 때만 가능하고, 대용량 준비 중 202, 미존재 404, 사용자가 전송 취소한 메시지 410. 텍스트는 재조회 API가 없다. 콘텐츠는 일정 기간 후 삭제된다.</t>
        </is>
      </c>
    </row>
    <row r="64" ht="152" customHeight="1">
      <c r="A64" s="6" t="inlineStr">
        <is>
          <t>REQ-21</t>
        </is>
      </c>
      <c r="B64" s="6">
        <f>COUNTIF('테스트케이스'!$D$2:$D$103,"*"&amp;A64&amp;"*")</f>
        <v/>
      </c>
      <c r="C64" s="6">
        <f>COUNTIFS('테스트케이스'!$D$2:$D$103,"*"&amp;A64&amp;"*",'테스트케이스'!$E$2:$E$103,"요구사항")</f>
        <v/>
      </c>
      <c r="D64" s="6">
        <f>COUNTIFS('테스트케이스'!$D$2:$D$103,"*"&amp;A64&amp;"*",'테스트케이스'!$N$2:$N$103,"Pass")</f>
        <v/>
      </c>
      <c r="E64" s="6">
        <f>COUNTIFS('테스트케이스'!$D$2:$D$103,"*"&amp;A64&amp;"*",'테스트케이스'!$N$2:$N$103,"Fail")</f>
        <v/>
      </c>
      <c r="F64" s="12" t="n"/>
      <c r="G64" s="2" t="n"/>
      <c r="H64" s="2" t="n"/>
      <c r="I64" s="3" t="n"/>
      <c r="J64" s="12" t="inlineStr">
        <is>
          <t>로딩 애니메이션(POST /v2/bot/chat/loading/start)은 chatId(userId)와 loadingSeconds(5~60의 5 단위, 기본 20)를 받아 202를 반환하며, 채팅방을 보고 있지 않거나 미친구·차단·삭제 사용자에게는 202지만 표시되지 않는다. 무효 초·무효 userId·그룹/룸 지정은 400. 읽음 처리(POST /v2/bot/chat/markAsRead)는 무효 markAsReadToken에 400. 엔드포인트 경로에 끝 슬래시 등을 붙이면 동작이 보장되지 않고, 본문 내 URL은 UTF-8 퍼센트 인코딩해야 한다.</t>
        </is>
      </c>
    </row>
    <row r="65" ht="107" customHeight="1">
      <c r="A65" s="6" t="inlineStr">
        <is>
          <t>REQ-22</t>
        </is>
      </c>
      <c r="B65" s="6">
        <f>COUNTIF('테스트케이스'!$D$2:$D$103,"*"&amp;A65&amp;"*")</f>
        <v/>
      </c>
      <c r="C65" s="6">
        <f>COUNTIFS('테스트케이스'!$D$2:$D$103,"*"&amp;A65&amp;"*",'테스트케이스'!$E$2:$E$103,"요구사항")</f>
        <v/>
      </c>
      <c r="D65" s="6">
        <f>COUNTIFS('테스트케이스'!$D$2:$D$103,"*"&amp;A65&amp;"*",'테스트케이스'!$N$2:$N$103,"Pass")</f>
        <v/>
      </c>
      <c r="E65" s="6">
        <f>COUNTIFS('테스트케이스'!$D$2:$D$103,"*"&amp;A65&amp;"*",'테스트케이스'!$N$2:$N$103,"Fail")</f>
        <v/>
      </c>
      <c r="F65" s="12" t="n"/>
      <c r="G65" s="2" t="n"/>
      <c r="H65" s="2" t="n"/>
      <c r="I65" s="3" t="n"/>
      <c r="J65" s="12" t="inlineStr">
        <is>
          <t>비파괴 변경 원칙: 신규 엔드포인트, 요청의 선택 파라미터·필드·헤더 추가, 응답 필드·헤더 추가, 웹훅 이벤트 속성 추가, 속성 순서 변경, 열거값 추가, 공백·줄바꿈 변화는 사전 고지 없이 이루어질 수 있다. 봇서버는 미지의 필드·이벤트 타입·열거값을 무시하고 정상 동작해야 하며, 요청·웹훅 로그(request id, 시각, 메서드, 경로, 상태 코드, 서명)를 보관해야 한다.</t>
        </is>
      </c>
    </row>
    <row r="67">
      <c r="A67" s="11" t="inlineStr">
        <is>
          <t>질의사항 영향</t>
        </is>
      </c>
    </row>
    <row r="68">
      <c r="A68" s="5" t="inlineStr">
        <is>
          <t>질의 ID</t>
        </is>
      </c>
      <c r="B68" s="5" t="inlineStr">
        <is>
          <t>영향 TC 수</t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>
        <is>
          <t>질의</t>
        </is>
      </c>
    </row>
    <row r="69" ht="77" customHeight="1">
      <c r="A69" s="6" t="inlineStr">
        <is>
          <t>Q01</t>
        </is>
      </c>
      <c r="B69" s="6">
        <f>COUNTIF('테스트케이스'!$M$2:$M$103,"*"&amp;A69&amp;"*")</f>
        <v/>
      </c>
      <c r="C69" s="12" t="n"/>
      <c r="D69" s="2" t="n"/>
      <c r="E69" s="2" t="n"/>
      <c r="F69" s="2" t="n"/>
      <c r="G69" s="2" t="n"/>
      <c r="H69" s="2" t="n"/>
      <c r="I69" s="3" t="n"/>
      <c r="J69" s="12" t="inlineStr">
        <is>
          <t>리트라이 키 형식 검증 범위: UUID 형식이 아닌 문자열('abc'), 대문자 UUID, 중괄호 포함 UUID, 빈 문자열을 X-Line-Retry-Key에 넣었을 때 400인지 그대로 수락되는지, 수락되면 멱등 키로 동작하는지</t>
        </is>
      </c>
    </row>
    <row r="70" ht="47" customHeight="1">
      <c r="A70" s="6" t="inlineStr">
        <is>
          <t>Q02</t>
        </is>
      </c>
      <c r="B70" s="6">
        <f>COUNTIF('테스트케이스'!$M$2:$M$103,"*"&amp;A70&amp;"*")</f>
        <v/>
      </c>
      <c r="C70" s="12" t="n"/>
      <c r="D70" s="2" t="n"/>
      <c r="E70" s="2" t="n"/>
      <c r="F70" s="2" t="n"/>
      <c r="G70" s="2" t="n"/>
      <c r="H70" s="2" t="n"/>
      <c r="I70" s="3" t="n"/>
      <c r="J70" s="12" t="inlineStr">
        <is>
          <t>같은 리트라이 키로 본문(수신자·메시지 내용)을 바꿔 재요청하면 409(키 기준 차단)인지 신규 처리인지. 문서는 '예상대로 동작하지 않을 수 있음'만 명시</t>
        </is>
      </c>
    </row>
    <row r="71" ht="62" customHeight="1">
      <c r="A71" s="6" t="inlineStr">
        <is>
          <t>Q03</t>
        </is>
      </c>
      <c r="B71" s="6">
        <f>COUNTIF('테스트케이스'!$M$2:$M$103,"*"&amp;A71&amp;"*")</f>
        <v/>
      </c>
      <c r="C71" s="12" t="n"/>
      <c r="D71" s="2" t="n"/>
      <c r="E71" s="2" t="n"/>
      <c r="F71" s="2" t="n"/>
      <c r="G71" s="2" t="n"/>
      <c r="H71" s="2" t="n"/>
      <c r="I71" s="3" t="n"/>
      <c r="J71" s="12" t="inlineStr">
        <is>
          <t>multicast to 배열 경계: 빈 배열, 같은 userId 중복, 유효 ID와 타채널 ID 혼합일 때 400인지 부분 발송인지, 중복이 500 한도 계산에 포함되는지</t>
        </is>
      </c>
    </row>
    <row r="72" ht="77" customHeight="1">
      <c r="A72" s="6" t="inlineStr">
        <is>
          <t>Q04</t>
        </is>
      </c>
      <c r="B72" s="6">
        <f>COUNTIF('테스트케이스'!$M$2:$M$103,"*"&amp;A72&amp;"*")</f>
        <v/>
      </c>
      <c r="C72" s="12" t="n"/>
      <c r="D72" s="2" t="n"/>
      <c r="E72" s="2" t="n"/>
      <c r="F72" s="2" t="n"/>
      <c r="G72" s="2" t="n"/>
      <c r="H72" s="2" t="n"/>
      <c r="I72" s="3" t="n"/>
      <c r="J72" s="12" t="inlineStr">
        <is>
          <t>messages 배열 경계의 오류 표기: 빈 배열([])과 6개 초과 시 message·details[].property 값(messages 인지 messages[5] 인지), 5개 중 1개만 무효일 때 property 인덱스 표기</t>
        </is>
      </c>
    </row>
    <row r="73" ht="92" customHeight="1">
      <c r="A73" s="6" t="inlineStr">
        <is>
          <t>Q05</t>
        </is>
      </c>
      <c r="B73" s="6">
        <f>COUNTIF('테스트케이스'!$M$2:$M$103,"*"&amp;A73&amp;"*")</f>
        <v/>
      </c>
      <c r="C73" s="12" t="n"/>
      <c r="D73" s="2" t="n"/>
      <c r="E73" s="2" t="n"/>
      <c r="F73" s="2" t="n"/>
      <c r="G73" s="2" t="n"/>
      <c r="H73" s="2" t="n"/>
      <c r="I73" s="3" t="n"/>
      <c r="J73" s="12" t="inlineStr">
        <is>
          <t>Authorization 헤더 변형 처리: 스킴 소문자('bearer'), 공백 2개, 스킴 없이 토큰만, 빈 토큰, 헤더 자체 누락일 때 모두 401인지, message가 'Authentication failed due to the following reason: XXX' 형식인지</t>
        </is>
      </c>
    </row>
    <row r="74" ht="92" customHeight="1">
      <c r="A74" s="6" t="inlineStr">
        <is>
          <t>Q06</t>
        </is>
      </c>
      <c r="B74" s="6">
        <f>COUNTIF('테스트케이스'!$M$2:$M$103,"*"&amp;A74&amp;"*")</f>
        <v/>
      </c>
      <c r="C74" s="12" t="n"/>
      <c r="D74" s="2" t="n"/>
      <c r="E74" s="2" t="n"/>
      <c r="F74" s="2" t="n"/>
      <c r="G74" s="2" t="n"/>
      <c r="H74" s="2" t="n"/>
      <c r="I74" s="3" t="n"/>
      <c r="J74" s="12" t="inlineStr">
        <is>
          <t>Content-Type 처리: 헤더 누락, text/plain으로 JSON 전송, application/json; charset=utf-8, multipart일 때 400/415 중 무엇이고 'The content type, XXX, is not supported' 메시지가 나오는지</t>
        </is>
      </c>
    </row>
    <row r="75" ht="62" customHeight="1">
      <c r="A75" s="6" t="inlineStr">
        <is>
          <t>Q07</t>
        </is>
      </c>
      <c r="B75" s="6">
        <f>COUNTIF('테스트케이스'!$M$2:$M$103,"*"&amp;A75&amp;"*")</f>
        <v/>
      </c>
      <c r="C75" s="12" t="n"/>
      <c r="D75" s="2" t="n"/>
      <c r="E75" s="2" t="n"/>
      <c r="F75" s="2" t="n"/>
      <c r="G75" s="2" t="n"/>
      <c r="H75" s="2" t="n"/>
      <c r="I75" s="3" t="n"/>
      <c r="J75" s="12" t="inlineStr">
        <is>
          <t>reply token 만료 경계: 수신 후 59초/60초/61초/20분 시점의 실제 거부 여부와 오류 message. 문서는 '1분 이후 동작 보장 안 됨'으로 비결정을 명시하고 '시간 제한에 의존하지 말 것'을 권고</t>
        </is>
      </c>
    </row>
    <row r="76" ht="62" customHeight="1">
      <c r="A76" s="6" t="inlineStr">
        <is>
          <t>Q08</t>
        </is>
      </c>
      <c r="B76" s="6">
        <f>COUNTIF('테스트케이스'!$M$2:$M$103,"*"&amp;A76&amp;"*")</f>
        <v/>
      </c>
      <c r="C76" s="12" t="n"/>
      <c r="D76" s="2" t="n"/>
      <c r="E76" s="2" t="n"/>
      <c r="F76" s="2" t="n"/>
      <c r="G76" s="2" t="n"/>
      <c r="H76" s="2" t="n"/>
      <c r="I76" s="3" t="n"/>
      <c r="J76" s="12" t="inlineStr">
        <is>
          <t>429 응답의 세부: Retry-After 헤더 포함 여부, 본문 details 유무, 토큰 버킷 보충 속도(초당 몇 건 회복), 월 한도 429와 레이트리밋 429의 message 외 구분자</t>
        </is>
      </c>
    </row>
    <row r="77" ht="47" customHeight="1">
      <c r="A77" s="6" t="inlineStr">
        <is>
          <t>Q09</t>
        </is>
      </c>
      <c r="B77" s="6">
        <f>COUNTIF('테스트케이스'!$M$2:$M$103,"*"&amp;A77&amp;"*")</f>
        <v/>
      </c>
      <c r="C77" s="12" t="n"/>
      <c r="D77" s="2" t="n"/>
      <c r="E77" s="2" t="n"/>
      <c r="F77" s="2" t="n"/>
      <c r="G77" s="2" t="n"/>
      <c r="H77" s="2" t="n"/>
      <c r="I77" s="3" t="n"/>
      <c r="J77" s="12" t="inlineStr">
        <is>
          <t>웹훅 재전송의 횟수·간격(비공개)과 봇서버 응답 타임아웃 기준 초. 타임아웃으로 간주되는 지연 시간과 재전송 종료 후 콘솔 통계 반영 시점</t>
        </is>
      </c>
    </row>
    <row r="78" ht="62" customHeight="1">
      <c r="A78" s="6" t="inlineStr">
        <is>
          <t>Q10</t>
        </is>
      </c>
      <c r="B78" s="6">
        <f>COUNTIF('테스트케이스'!$M$2:$M$103,"*"&amp;A78&amp;"*")</f>
        <v/>
      </c>
      <c r="C78" s="12" t="n"/>
      <c r="D78" s="2" t="n"/>
      <c r="E78" s="2" t="n"/>
      <c r="F78" s="2" t="n"/>
      <c r="G78" s="2" t="n"/>
      <c r="H78" s="2" t="n"/>
      <c r="I78" s="3" t="n"/>
      <c r="J78" s="12" t="inlineStr">
        <is>
          <t>followers/ids의 limit 범위 외 값(0, 음수, 1001, 문자열)과 start에 임의 문자열 지정 시 400인지 기본값·최대값으로 보정되는지, 오류 property 값</t>
        </is>
      </c>
    </row>
    <row r="79" ht="77" customHeight="1">
      <c r="A79" s="6" t="inlineStr">
        <is>
          <t>Q11</t>
        </is>
      </c>
      <c r="B79" s="6">
        <f>COUNTIF('테스트케이스'!$M$2:$M$103,"*"&amp;A79&amp;"*")</f>
        <v/>
      </c>
      <c r="C79" s="12" t="n"/>
      <c r="D79" s="2" t="n"/>
      <c r="E79" s="2" t="n"/>
      <c r="F79" s="2" t="n"/>
      <c r="G79" s="2" t="n"/>
      <c r="H79" s="2" t="n"/>
      <c r="I79" s="3" t="n"/>
      <c r="J79" s="12" t="inlineStr">
        <is>
          <t>text 길이 경계의 오류 표기: 5001자(UTF-16 유닛) 초과 시 details[].property·message, LINE 이모지 대체 텍스트 치환 후 길이가 5000을 넘는 경우의 처리, 4999자 + 서로게이트 이모지 1개(=5001유닛)의 판정</t>
        </is>
      </c>
    </row>
    <row r="80" ht="77" customHeight="1">
      <c r="A80" s="6" t="inlineStr">
        <is>
          <t>Q12</t>
        </is>
      </c>
      <c r="B80" s="6">
        <f>COUNTIF('테스트케이스'!$M$2:$M$103,"*"&amp;A80&amp;"*")</f>
        <v/>
      </c>
      <c r="C80" s="12" t="n"/>
      <c r="D80" s="2" t="n"/>
      <c r="E80" s="2" t="n"/>
      <c r="F80" s="2" t="n"/>
      <c r="G80" s="2" t="n"/>
      <c r="H80" s="2" t="n"/>
      <c r="I80" s="3" t="n"/>
      <c r="J80" s="12" t="inlineStr">
        <is>
          <t>선택 파라미터 타입·조합 검증: notificationDisabled에 문자열 'true'/숫자 1, customAggregationUnits에 빈 배열·2개, to에 groupId + customAggregationUnits 조합일 때 400인지 무시되는지</t>
        </is>
      </c>
    </row>
    <row r="81" ht="77" customHeight="1">
      <c r="A81" s="6" t="inlineStr">
        <is>
          <t>Q13</t>
        </is>
      </c>
      <c r="B81" s="6">
        <f>COUNTIF('테스트케이스'!$M$2:$M$103,"*"&amp;A81&amp;"*")</f>
        <v/>
      </c>
      <c r="C81" s="12" t="n"/>
      <c r="D81" s="2" t="n"/>
      <c r="E81" s="2" t="n"/>
      <c r="F81" s="2" t="n"/>
      <c r="G81" s="2" t="n"/>
      <c r="H81" s="2" t="n"/>
      <c r="I81" s="3" t="n"/>
      <c r="J81" s="12" t="inlineStr">
        <is>
          <t>webhook test 엔드포인트의 endpoint 파라미터에 http://(비HTTPS), 501자 URL, 해석 불가 도메인, 포트 포함 URL을 지정했을 때의 상태 코드(400 vs 200+success=false)와 reason 값</t>
        </is>
      </c>
    </row>
    <row r="82">
      <c r="A82" s="10" t="inlineStr">
        <is>
          <t>※ 질의 TC는 '현재 동작 기록'이 수행 조건이며, 확인 결과는 '질의사항' 시트에 기록</t>
        </is>
      </c>
    </row>
  </sheetData>
  <mergeCells count="41">
    <mergeCell ref="A5:J5"/>
    <mergeCell ref="F56:I56"/>
    <mergeCell ref="C70:I70"/>
    <mergeCell ref="F43:I43"/>
    <mergeCell ref="F58:I58"/>
    <mergeCell ref="F61:I61"/>
    <mergeCell ref="F52:I52"/>
    <mergeCell ref="F48:I48"/>
    <mergeCell ref="A4:J4"/>
    <mergeCell ref="C72:I72"/>
    <mergeCell ref="C81:I81"/>
    <mergeCell ref="F49:I49"/>
    <mergeCell ref="F60:I60"/>
    <mergeCell ref="C69:I69"/>
    <mergeCell ref="F57:I57"/>
    <mergeCell ref="F64:I64"/>
    <mergeCell ref="F53:I53"/>
    <mergeCell ref="C78:I78"/>
    <mergeCell ref="C77:I77"/>
    <mergeCell ref="F44:I44"/>
    <mergeCell ref="F54:I54"/>
    <mergeCell ref="F63:I63"/>
    <mergeCell ref="F65:I65"/>
    <mergeCell ref="A1:J1"/>
    <mergeCell ref="C74:I74"/>
    <mergeCell ref="C71:I71"/>
    <mergeCell ref="C79:I79"/>
    <mergeCell ref="C73:I73"/>
    <mergeCell ref="F55:I55"/>
    <mergeCell ref="F59:I59"/>
    <mergeCell ref="F51:I51"/>
    <mergeCell ref="F45:I45"/>
    <mergeCell ref="F50:I50"/>
    <mergeCell ref="C75:I75"/>
    <mergeCell ref="C80:I80"/>
    <mergeCell ref="A3:J3"/>
    <mergeCell ref="F47:I47"/>
    <mergeCell ref="F62:I62"/>
    <mergeCell ref="A2:J2"/>
    <mergeCell ref="C76:I76"/>
    <mergeCell ref="F46:I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6" customWidth="1" min="4" max="4"/>
    <col width="11" customWidth="1" min="5" max="5"/>
    <col width="10" customWidth="1" min="6" max="6"/>
    <col width="10" customWidth="1" min="7" max="7"/>
    <col width="9" customWidth="1" min="8" max="8"/>
    <col width="36" customWidth="1" min="9" max="9"/>
    <col width="46" customWidth="1" min="10" max="10"/>
    <col width="20" customWidth="1" min="11" max="11"/>
    <col width="50" customWidth="1" min="12" max="12"/>
    <col width="11" customWidth="1" min="13" max="13"/>
    <col width="10" customWidth="1" min="14" max="14"/>
    <col width="30" customWidth="1" min="15" max="15"/>
    <col width="11" customWidth="1" min="16" max="16"/>
    <col width="11" customWidth="1" min="17" max="17"/>
    <col width="9" customWidth="1" min="18" max="18"/>
    <col width="16" customWidth="1" min="19" max="19"/>
    <col width="14" customWidth="1" min="20" max="20"/>
  </cols>
  <sheetData>
    <row r="1" ht="30" customHeight="1">
      <c r="A1" s="5" t="inlineStr">
        <is>
          <t>TC ID</t>
        </is>
      </c>
      <c r="B1" s="5" t="inlineStr">
        <is>
          <t>대분류</t>
        </is>
      </c>
      <c r="C1" s="5" t="inlineStr">
        <is>
          <t>중분류</t>
        </is>
      </c>
      <c r="D1" s="5" t="inlineStr">
        <is>
          <t>요구사항 ID</t>
        </is>
      </c>
      <c r="E1" s="5" t="inlineStr">
        <is>
          <t>설계 근거</t>
        </is>
      </c>
      <c r="F1" s="5" t="inlineStr">
        <is>
          <t>실행 구분</t>
        </is>
      </c>
      <c r="G1" s="5" t="inlineStr">
        <is>
          <t>자동화 구분</t>
        </is>
      </c>
      <c r="H1" s="5" t="inlineStr">
        <is>
          <t>우선순위</t>
        </is>
      </c>
      <c r="I1" s="5" t="inlineStr">
        <is>
          <t>사전 조건</t>
        </is>
      </c>
      <c r="J1" s="5" t="inlineStr">
        <is>
          <t>테스트 절차</t>
        </is>
      </c>
      <c r="K1" s="5" t="inlineStr">
        <is>
          <t>테스트 데이터</t>
        </is>
      </c>
      <c r="L1" s="5" t="inlineStr">
        <is>
          <t>기대 결과</t>
        </is>
      </c>
      <c r="M1" s="5" t="inlineStr">
        <is>
          <t>관련 질의</t>
        </is>
      </c>
      <c r="N1" s="5" t="inlineStr">
        <is>
          <t>결과</t>
        </is>
      </c>
      <c r="O1" s="5" t="inlineStr">
        <is>
          <t>실측·메모</t>
        </is>
      </c>
      <c r="P1" s="5" t="inlineStr">
        <is>
          <t>결함 ID</t>
        </is>
      </c>
      <c r="Q1" s="5" t="inlineStr">
        <is>
          <t>수행일</t>
        </is>
      </c>
      <c r="R1" s="5" t="inlineStr">
        <is>
          <t>수행자</t>
        </is>
      </c>
      <c r="S1" s="5" t="inlineStr">
        <is>
          <t>증적(요청·응답 로그)</t>
        </is>
      </c>
      <c r="T1" s="5" t="inlineStr">
        <is>
          <t>비고</t>
        </is>
      </c>
    </row>
    <row r="2" ht="169" customHeight="1">
      <c r="A2" s="6" t="inlineStr">
        <is>
          <t>TC-AUTH-001</t>
        </is>
      </c>
      <c r="B2" s="6" t="inlineStr">
        <is>
          <t>인증·토큰</t>
        </is>
      </c>
      <c r="C2" s="6" t="inlineStr">
        <is>
          <t>stateless 발급</t>
        </is>
      </c>
      <c r="D2" s="6" t="inlineStr">
        <is>
          <t>REQ-02, REQ-03</t>
        </is>
      </c>
      <c r="E2" s="6" t="inlineStr">
        <is>
          <t>요구사항</t>
        </is>
      </c>
      <c r="F2" s="6" t="inlineStr">
        <is>
          <t>무발송</t>
        </is>
      </c>
      <c r="G2" s="6" t="inlineStr">
        <is>
          <t>API</t>
        </is>
      </c>
      <c r="H2" s="6" t="inlineStr">
        <is>
          <t>P1</t>
        </is>
      </c>
      <c r="I2" s="12" t="inlineStr">
        <is>
          <t>테스트 채널 CH1의 채널 ID·채널 secret 확보</t>
        </is>
      </c>
      <c r="J2" s="12" t="inlineStr">
        <is>
          <t>1. POST https://api.line.me/oauth2/v3/token, Content-Type: application/x-www-form-urlencoded
2. grant_type=client_credentials, client_id={채널 ID}, client_secret={secret} 전송
3. 응답 본문·헤더 확인
4. 발급된 토큰으로 GET /v2/bot/info 호출</t>
        </is>
      </c>
      <c r="K2" s="12" t="inlineStr">
        <is>
          <t>CH1 자격 증명</t>
        </is>
      </c>
      <c r="L2" s="12" t="inlineStr">
        <is>
          <t>1. 200, 본문에 token_type='Bearer', access_token(문자열), expires_in=900(15분)이 있다
2. X-Line-Request-Id 헤더가 있다
3. 발급 토큰으로 GET /v2/bot/info가 200을 반환한다</t>
        </is>
      </c>
      <c r="M2" s="6" t="inlineStr"/>
      <c r="N2" s="13" t="n"/>
      <c r="O2" s="14" t="n"/>
      <c r="P2" s="13" t="n"/>
      <c r="Q2" s="13" t="n"/>
      <c r="R2" s="13" t="n"/>
      <c r="S2" s="13" t="n"/>
      <c r="T2" s="12" t="n"/>
    </row>
    <row r="3" ht="124" customHeight="1">
      <c r="A3" s="6" t="inlineStr">
        <is>
          <t>TC-AUTH-002</t>
        </is>
      </c>
      <c r="B3" s="6" t="inlineStr">
        <is>
          <t>인증·토큰</t>
        </is>
      </c>
      <c r="C3" s="6" t="inlineStr">
        <is>
          <t>stateless 발급 실패</t>
        </is>
      </c>
      <c r="D3" s="6" t="inlineStr">
        <is>
          <t>REQ-03, REQ-05</t>
        </is>
      </c>
      <c r="E3" s="6" t="inlineStr">
        <is>
          <t>요구사항</t>
        </is>
      </c>
      <c r="F3" s="6" t="inlineStr">
        <is>
          <t>무발송</t>
        </is>
      </c>
      <c r="G3" s="6" t="inlineStr">
        <is>
          <t>API</t>
        </is>
      </c>
      <c r="H3" s="6" t="inlineStr">
        <is>
          <t>P1</t>
        </is>
      </c>
      <c r="I3" s="12" t="inlineStr">
        <is>
          <t>CH1 채널 ID 확보</t>
        </is>
      </c>
      <c r="J3" s="12" t="inlineStr">
        <is>
          <t>1. client_secret을 마지막 1자만 바꾼 값으로 POST /oauth2/v3/token
2. client_id를 존재하지 않는 숫자로 바꿔 재요청
3. grant_type을 'password'로 바꿔 재요청
4. 각 응답의 상태 코드·본문 기록</t>
        </is>
      </c>
      <c r="K3" s="12" t="inlineStr">
        <is>
          <t>잘못된 secret / 무효 채널 ID / 미지원 grant_type</t>
        </is>
      </c>
      <c r="L3" s="12" t="inlineStr">
        <is>
          <t>1~3. 모두 400이며 본문에 오류를 설명하는 message가 있다(access_token 미포함)
4. 오류 본문에 채널 secret 값이 그대로 노출되지 않는다</t>
        </is>
      </c>
      <c r="M3" s="6" t="inlineStr"/>
      <c r="N3" s="13" t="n"/>
      <c r="O3" s="14" t="n"/>
      <c r="P3" s="13" t="n"/>
      <c r="Q3" s="13" t="n"/>
      <c r="R3" s="13" t="n"/>
      <c r="S3" s="13" t="n"/>
      <c r="T3" s="12" t="n"/>
    </row>
    <row r="4" ht="214" customHeight="1">
      <c r="A4" s="6" t="inlineStr">
        <is>
          <t>TC-AUTH-003</t>
        </is>
      </c>
      <c r="B4" s="6" t="inlineStr">
        <is>
          <t>인증·토큰</t>
        </is>
      </c>
      <c r="C4" s="6" t="inlineStr">
        <is>
          <t>v2.1 발급(JWT)</t>
        </is>
      </c>
      <c r="D4" s="6" t="inlineStr">
        <is>
          <t>REQ-02, REQ-03</t>
        </is>
      </c>
      <c r="E4" s="6" t="inlineStr">
        <is>
          <t>요구사항</t>
        </is>
      </c>
      <c r="F4" s="6" t="inlineStr">
        <is>
          <t>무발송</t>
        </is>
      </c>
      <c r="G4" s="6" t="inlineStr">
        <is>
          <t>API</t>
        </is>
      </c>
      <c r="H4" s="6" t="inlineStr">
        <is>
          <t>P2</t>
        </is>
      </c>
      <c r="I4" s="12" t="inlineStr">
        <is>
          <t>CH1에 assertion 서명 키(JWK) 등록, 개인 키 보관</t>
        </is>
      </c>
      <c r="J4" s="12" t="inlineStr">
        <is>
          <t>1. 만료 30분 이내의 JWT assertion 생성(token_exp=3600 지정)
2. POST /oauth2/v2.1/token, grant_type=client_credentials, client_assertion_type=urn:ietf:params:oauth:client-assertion-type:jwt-bearer, client_assertion={JWT}
3. 응답 확인
4. GET /oauth2/v2.1/verify?access_token={발급 토큰} 호출</t>
        </is>
      </c>
      <c r="K4" s="12" t="inlineStr">
        <is>
          <t>JWT(만료 30분 내), token_exp 3600</t>
        </is>
      </c>
      <c r="L4" s="12" t="inlineStr">
        <is>
          <t>1. 200, access_token·expires_in(≈3600)·token_type='Bearer'·key_id 반환
2. verify가 200으로 client_id(=채널 ID), expires_in(≤3600)을 반환한다</t>
        </is>
      </c>
      <c r="M4" s="6" t="inlineStr"/>
      <c r="N4" s="13" t="n"/>
      <c r="O4" s="14" t="n"/>
      <c r="P4" s="13" t="n"/>
      <c r="Q4" s="13" t="n"/>
      <c r="R4" s="13" t="n"/>
      <c r="S4" s="13" t="n"/>
      <c r="T4" s="12" t="n"/>
    </row>
    <row r="5" ht="94" customHeight="1">
      <c r="A5" s="6" t="inlineStr">
        <is>
          <t>TC-AUTH-004</t>
        </is>
      </c>
      <c r="B5" s="6" t="inlineStr">
        <is>
          <t>인증·토큰</t>
        </is>
      </c>
      <c r="C5" s="6" t="inlineStr">
        <is>
          <t>v2.1 발급 실패</t>
        </is>
      </c>
      <c r="D5" s="6" t="inlineStr">
        <is>
          <t>REQ-03</t>
        </is>
      </c>
      <c r="E5" s="6" t="inlineStr">
        <is>
          <t>요구사항</t>
        </is>
      </c>
      <c r="F5" s="6" t="inlineStr">
        <is>
          <t>무발송</t>
        </is>
      </c>
      <c r="G5" s="6" t="inlineStr">
        <is>
          <t>API</t>
        </is>
      </c>
      <c r="H5" s="6" t="inlineStr">
        <is>
          <t>P2</t>
        </is>
      </c>
      <c r="I5" s="12" t="inlineStr">
        <is>
          <t>TC-AUTH-003과 동일</t>
        </is>
      </c>
      <c r="J5" s="12" t="inlineStr">
        <is>
          <t>1. exp가 생성 시각 + 31분인 JWT로 발급 요청
2. 등록되지 않은 키로 서명한 JWT로 발급 요청
3. 서명 부분을 1바이트 바꾼 JWT로 발급 요청</t>
        </is>
      </c>
      <c r="K5" s="12" t="inlineStr">
        <is>
          <t>만료 초과 JWT / 미등록 키 JWT / 서명 변조 JWT</t>
        </is>
      </c>
      <c r="L5" s="12" t="inlineStr">
        <is>
          <t>1. 400(JWT assertion 만료)
2. 404(채널에 미등록 서명 키)
3. 400(JWT 검증 실패)
각 본문에 message가 있다</t>
        </is>
      </c>
      <c r="M5" s="6" t="inlineStr"/>
      <c r="N5" s="13" t="n"/>
      <c r="O5" s="14" t="n"/>
      <c r="P5" s="13" t="n"/>
      <c r="Q5" s="13" t="n"/>
      <c r="R5" s="13" t="n"/>
      <c r="S5" s="13" t="n"/>
      <c r="T5" s="12" t="n"/>
    </row>
    <row r="6" ht="94" customHeight="1">
      <c r="A6" s="6" t="inlineStr">
        <is>
          <t>TC-AUTH-005</t>
        </is>
      </c>
      <c r="B6" s="6" t="inlineStr">
        <is>
          <t>인증·토큰</t>
        </is>
      </c>
      <c r="C6" s="6" t="inlineStr">
        <is>
          <t>v2.1 발급 한도</t>
        </is>
      </c>
      <c r="D6" s="6" t="inlineStr">
        <is>
          <t>REQ-02, REQ-03</t>
        </is>
      </c>
      <c r="E6" s="6" t="inlineStr">
        <is>
          <t>요구사항</t>
        </is>
      </c>
      <c r="F6" s="6" t="inlineStr">
        <is>
          <t>장기·한도</t>
        </is>
      </c>
      <c r="G6" s="6" t="inlineStr">
        <is>
          <t>수동</t>
        </is>
      </c>
      <c r="H6" s="6" t="inlineStr">
        <is>
          <t>P2</t>
        </is>
      </c>
      <c r="I6" s="12" t="inlineStr">
        <is>
          <t>CH1에 유효한 v2.1 토큰이 0개(기존 토큰은 revoke)</t>
        </is>
      </c>
      <c r="J6" s="12" t="inlineStr">
        <is>
          <t>1. token_exp=86400(1일)으로 v2.1 토큰을 30개 발급
2. 31번째 발급 요청
3. GET /oauth2/v2.1/tokens/kid로 유효 key_id 목록 조회
4. 1개를 revoke 후 다시 발급 요청</t>
        </is>
      </c>
      <c r="K6" s="12" t="inlineStr">
        <is>
          <t>JWT 31개(각각 새 jti)</t>
        </is>
      </c>
      <c r="L6" s="12" t="inlineStr">
        <is>
          <t>1. 30개 모두 200
2. 31번째는 400(발급 가능 수 초과 message)
3. key_id 30개가 조회된다
4. revoke 후 발급은 200(만료·폐기 토큰은 집계 제외)</t>
        </is>
      </c>
      <c r="M6" s="6" t="inlineStr"/>
      <c r="N6" s="13" t="n"/>
      <c r="O6" s="14" t="n"/>
      <c r="P6" s="13" t="n"/>
      <c r="Q6" s="13" t="n"/>
      <c r="R6" s="13" t="n"/>
      <c r="S6" s="13" t="n"/>
      <c r="T6" s="12" t="n"/>
    </row>
    <row r="7" ht="139" customHeight="1">
      <c r="A7" s="6" t="inlineStr">
        <is>
          <t>TC-AUTH-006</t>
        </is>
      </c>
      <c r="B7" s="6" t="inlineStr">
        <is>
          <t>인증·토큰</t>
        </is>
      </c>
      <c r="C7" s="6" t="inlineStr">
        <is>
          <t>토큰 폐기</t>
        </is>
      </c>
      <c r="D7" s="6" t="inlineStr">
        <is>
          <t>REQ-02, REQ-03, REQ-01</t>
        </is>
      </c>
      <c r="E7" s="6" t="inlineStr">
        <is>
          <t>요구사항</t>
        </is>
      </c>
      <c r="F7" s="6" t="inlineStr">
        <is>
          <t>무발송</t>
        </is>
      </c>
      <c r="G7" s="6" t="inlineStr">
        <is>
          <t>API</t>
        </is>
      </c>
      <c r="H7" s="6" t="inlineStr">
        <is>
          <t>P1</t>
        </is>
      </c>
      <c r="I7" s="12" t="inlineStr">
        <is>
          <t>v2.1 토큰 T3 발급 완료</t>
        </is>
      </c>
      <c r="J7" s="12" t="inlineStr">
        <is>
          <t>1. T3로 GET /v2/bot/info → 200 확인
2. POST /oauth2/v2.1/revoke (client_id, client_secret, access_token=T3)
3. 즉시 T3로 GET /v2/bot/info 재호출
4. GET /oauth2/v2.1/verify?access_token=T3</t>
        </is>
      </c>
      <c r="K7" s="12" t="inlineStr">
        <is>
          <t>T3</t>
        </is>
      </c>
      <c r="L7" s="12" t="inlineStr">
        <is>
          <t>2. 200
3. 401(폐기 직후부터 사용 불가)
4. 400(미존재·폐기 토큰)</t>
        </is>
      </c>
      <c r="M7" s="6" t="inlineStr"/>
      <c r="N7" s="13" t="n"/>
      <c r="O7" s="14" t="n"/>
      <c r="P7" s="13" t="n"/>
      <c r="Q7" s="13" t="n"/>
      <c r="R7" s="13" t="n"/>
      <c r="S7" s="13" t="n"/>
      <c r="T7" s="12" t="n"/>
    </row>
    <row r="8" ht="109" customHeight="1">
      <c r="A8" s="6" t="inlineStr">
        <is>
          <t>TC-AUTH-007</t>
        </is>
      </c>
      <c r="B8" s="6" t="inlineStr">
        <is>
          <t>인증·토큰</t>
        </is>
      </c>
      <c r="C8" s="6" t="inlineStr">
        <is>
          <t>stateless 폐기 불가</t>
        </is>
      </c>
      <c r="D8" s="6" t="inlineStr">
        <is>
          <t>REQ-02</t>
        </is>
      </c>
      <c r="E8" s="6" t="inlineStr">
        <is>
          <t>요구사항</t>
        </is>
      </c>
      <c r="F8" s="6" t="inlineStr">
        <is>
          <t>무발송</t>
        </is>
      </c>
      <c r="G8" s="6" t="inlineStr">
        <is>
          <t>API</t>
        </is>
      </c>
      <c r="H8" s="6" t="inlineStr">
        <is>
          <t>P3</t>
        </is>
      </c>
      <c r="I8" s="12" t="inlineStr">
        <is>
          <t>stateless 토큰 T2 발급</t>
        </is>
      </c>
      <c r="J8" s="12" t="inlineStr">
        <is>
          <t>1. POST /oauth2/v2.1/revoke에 access_token=T2로 요청
2. POST /v2/oauth/revoke(short/long-lived용)에 T2로 요청
3. 각 응답 후 T2로 GET /v2/bot/info</t>
        </is>
      </c>
      <c r="K8" s="12" t="inlineStr">
        <is>
          <t>T2</t>
        </is>
      </c>
      <c r="L8" s="12" t="inlineStr">
        <is>
          <t>1~2. 폐기가 거부되거나(4xx) 무시된다 — 상태 코드·message 기록
3. T2는 15분 만료 전까지 계속 200(문서: stateless 토큰은 폐기 불가)</t>
        </is>
      </c>
      <c r="M8" s="6" t="inlineStr"/>
      <c r="N8" s="13" t="n"/>
      <c r="O8" s="14" t="n"/>
      <c r="P8" s="13" t="n"/>
      <c r="Q8" s="13" t="n"/>
      <c r="R8" s="13" t="n"/>
      <c r="S8" s="13" t="n"/>
      <c r="T8" s="12" t="n"/>
    </row>
    <row r="9" ht="109" customHeight="1">
      <c r="A9" s="6" t="inlineStr">
        <is>
          <t>TC-AUTH-008</t>
        </is>
      </c>
      <c r="B9" s="6" t="inlineStr">
        <is>
          <t>인증·토큰</t>
        </is>
      </c>
      <c r="C9" s="6" t="inlineStr">
        <is>
          <t>만료 토큰</t>
        </is>
      </c>
      <c r="D9" s="6" t="inlineStr">
        <is>
          <t>REQ-01, REQ-02, REQ-03</t>
        </is>
      </c>
      <c r="E9" s="6" t="inlineStr">
        <is>
          <t>요구사항</t>
        </is>
      </c>
      <c r="F9" s="6" t="inlineStr">
        <is>
          <t>장기·한도</t>
        </is>
      </c>
      <c r="G9" s="6" t="inlineStr">
        <is>
          <t>수동</t>
        </is>
      </c>
      <c r="H9" s="6" t="inlineStr">
        <is>
          <t>P1</t>
        </is>
      </c>
      <c r="I9" s="12" t="inlineStr">
        <is>
          <t>stateless 토큰 T2를 발급하고 발급 시각 기록</t>
        </is>
      </c>
      <c r="J9" s="12" t="inlineStr">
        <is>
          <t>1. 발급 14분 50초 시점에 GET /v2/bot/info
2. 발급 15분 10초 시점에 같은 호출
3. 응답 상태·message 기록</t>
        </is>
      </c>
      <c r="K9" s="12" t="inlineStr">
        <is>
          <t>T2, 타이머</t>
        </is>
      </c>
      <c r="L9" s="12" t="inlineStr">
        <is>
          <t>1. 200
2. 401, message에 인증 실패 사유('Authentication failed due to the following reason: …')가 있다
3. 만료 전후 경계(±10초)에서 동작이 전환된다</t>
        </is>
      </c>
      <c r="M9" s="6" t="inlineStr"/>
      <c r="N9" s="13" t="n"/>
      <c r="O9" s="14" t="n"/>
      <c r="P9" s="13" t="n"/>
      <c r="Q9" s="13" t="n"/>
      <c r="R9" s="13" t="n"/>
      <c r="S9" s="13" t="n"/>
      <c r="T9" s="12" t="n"/>
    </row>
    <row r="10" ht="139" customHeight="1">
      <c r="A10" s="6" t="inlineStr">
        <is>
          <t>TC-AUTH-009</t>
        </is>
      </c>
      <c r="B10" s="6" t="inlineStr">
        <is>
          <t>인증·토큰</t>
        </is>
      </c>
      <c r="C10" s="6" t="inlineStr">
        <is>
          <t>Authorization 헤더 변형</t>
        </is>
      </c>
      <c r="D10" s="6" t="inlineStr">
        <is>
          <t>REQ-01, REQ-05</t>
        </is>
      </c>
      <c r="E10" s="6" t="inlineStr">
        <is>
          <t>리스크 기반</t>
        </is>
      </c>
      <c r="F10" s="6" t="inlineStr">
        <is>
          <t>무발송</t>
        </is>
      </c>
      <c r="G10" s="6" t="inlineStr">
        <is>
          <t>API</t>
        </is>
      </c>
      <c r="H10" s="6" t="inlineStr">
        <is>
          <t>P1</t>
        </is>
      </c>
      <c r="I10" s="12" t="inlineStr">
        <is>
          <t>유효 long-lived 토큰 T1</t>
        </is>
      </c>
      <c r="J10" s="12" t="inlineStr">
        <is>
          <t>1. Authorization 헤더 없이 GET /v2/bot/info
2. 'Bearer ' 뒤 빈 문자열
3. 'bearer {T1}'(소문자 스킴)
4. 'Bearer  {T1}'(공백 2개)
5. '{T1}'(스킴 없음)
6. 'Bearer {T1 마지막 1자 변경}'
7. 'Basic {base64}'</t>
        </is>
      </c>
      <c r="K10" s="12" t="inlineStr">
        <is>
          <t>T1 변형 7종</t>
        </is>
      </c>
      <c r="L10" s="12" t="inlineStr">
        <is>
          <t>1~2, 5~7. 401이며 본문 message가 있고 토큰 값이 에코되지 않는다
3~4. 현재 동작 기록(Q05 회신 후 확정). 모든 401 응답에 X-Line-Request-Id가 있다</t>
        </is>
      </c>
      <c r="M10" s="6" t="inlineStr">
        <is>
          <t>Q05</t>
        </is>
      </c>
      <c r="N10" s="13" t="n"/>
      <c r="O10" s="14" t="n"/>
      <c r="P10" s="13" t="n"/>
      <c r="Q10" s="13" t="n"/>
      <c r="R10" s="13" t="n"/>
      <c r="S10" s="13" t="n"/>
      <c r="T10" s="12" t="n"/>
    </row>
    <row r="11" ht="124" customHeight="1">
      <c r="A11" s="6" t="inlineStr">
        <is>
          <t>TC-CMN-001</t>
        </is>
      </c>
      <c r="B11" s="6" t="inlineStr">
        <is>
          <t>공통 계약</t>
        </is>
      </c>
      <c r="C11" s="6" t="inlineStr">
        <is>
          <t>성공 응답 스키마</t>
        </is>
      </c>
      <c r="D11" s="6" t="inlineStr">
        <is>
          <t>REQ-04, REQ-05</t>
        </is>
      </c>
      <c r="E11" s="6" t="inlineStr">
        <is>
          <t>요구사항</t>
        </is>
      </c>
      <c r="F11" s="6" t="inlineStr">
        <is>
          <t>무발송</t>
        </is>
      </c>
      <c r="G11" s="6" t="inlineStr">
        <is>
          <t>API</t>
        </is>
      </c>
      <c r="H11" s="6" t="inlineStr">
        <is>
          <t>P1</t>
        </is>
      </c>
      <c r="I11" s="12" t="inlineStr">
        <is>
          <t>T1 유효</t>
        </is>
      </c>
      <c r="J11" s="12" t="inlineStr">
        <is>
          <t>1. GET /v2/bot/info 호출
2. 응답 헤더·본문을 JSON 스키마(userId, basicId, displayName, chatMode, markAsReadMode; premiumId·pictureUrl 선택)로 검증
3. 같은 호출 3회 반복해 X-Line-Request-Id 비교</t>
        </is>
      </c>
      <c r="K11" s="12" t="inlineStr">
        <is>
          <t>T1</t>
        </is>
      </c>
      <c r="L11" s="12" t="inlineStr">
        <is>
          <t>1. 200, Content-Type이 application/json
2. 필수 필드 존재·타입 일치, 선택 필드는 없어도 통과(비파괴 추가 허용)
3. 요청마다 다른 X-Line-Request-Id(UUID 형식)가 발급된다</t>
        </is>
      </c>
      <c r="M11" s="6" t="inlineStr"/>
      <c r="N11" s="13" t="n"/>
      <c r="O11" s="14" t="n"/>
      <c r="P11" s="13" t="n"/>
      <c r="Q11" s="13" t="n"/>
      <c r="R11" s="13" t="n"/>
      <c r="S11" s="13" t="n"/>
      <c r="T11" s="12" t="n"/>
    </row>
    <row r="12" ht="184" customHeight="1">
      <c r="A12" s="6" t="inlineStr">
        <is>
          <t>TC-CMN-002</t>
        </is>
      </c>
      <c r="B12" s="6" t="inlineStr">
        <is>
          <t>공통 계약</t>
        </is>
      </c>
      <c r="C12" s="6" t="inlineStr">
        <is>
          <t>오류 응답 스키마</t>
        </is>
      </c>
      <c r="D12" s="6" t="inlineStr">
        <is>
          <t>REQ-05, REQ-12</t>
        </is>
      </c>
      <c r="E12" s="6" t="inlineStr">
        <is>
          <t>요구사항</t>
        </is>
      </c>
      <c r="F12" s="6" t="inlineStr">
        <is>
          <t>무발송</t>
        </is>
      </c>
      <c r="G12" s="6" t="inlineStr">
        <is>
          <t>API</t>
        </is>
      </c>
      <c r="H12" s="6" t="inlineStr">
        <is>
          <t>P1</t>
        </is>
      </c>
      <c r="I12" s="12" t="inlineStr">
        <is>
          <t>T1 유효</t>
        </is>
      </c>
      <c r="J12" s="12" t="inlineStr">
        <is>
          <t>1. POST /v2/bot/message/validate/push에 messages=[{type:'text', text:''}, {type:'unknown'}] 전송
2. 본문을 오류 스키마(message: string 필수, details: [{message, property}] 조건부)로 검증
3. details 각 항목의 property가 요청 JSON 경로(messages[0].text, messages[1].type)를 가리키는지 확인</t>
        </is>
      </c>
      <c r="K12" s="12" t="inlineStr">
        <is>
          <t>무효 메시지 2건</t>
        </is>
      </c>
      <c r="L12" s="12" t="inlineStr">
        <is>
          <t>1. 400
2. message='The request body has 2 error(s)' 형식, details 2개
3. details[0].property='messages[0].text', message='May not be empty'; details[1].property='messages[1].type', message에 허용 type 목록이 있다</t>
        </is>
      </c>
      <c r="M12" s="6" t="inlineStr"/>
      <c r="N12" s="13" t="n"/>
      <c r="O12" s="14" t="n"/>
      <c r="P12" s="13" t="n"/>
      <c r="Q12" s="13" t="n"/>
      <c r="R12" s="13" t="n"/>
      <c r="S12" s="13" t="n"/>
      <c r="T12" s="12" t="n"/>
    </row>
    <row r="13" ht="94" customHeight="1">
      <c r="A13" s="6" t="inlineStr">
        <is>
          <t>TC-CMN-003</t>
        </is>
      </c>
      <c r="B13" s="6" t="inlineStr">
        <is>
          <t>공통 계약</t>
        </is>
      </c>
      <c r="C13" s="6" t="inlineStr">
        <is>
          <t>JSON 파싱 오류</t>
        </is>
      </c>
      <c r="D13" s="6" t="inlineStr">
        <is>
          <t>REQ-04, REQ-05</t>
        </is>
      </c>
      <c r="E13" s="6" t="inlineStr">
        <is>
          <t>요구사항</t>
        </is>
      </c>
      <c r="F13" s="6" t="inlineStr">
        <is>
          <t>무발송</t>
        </is>
      </c>
      <c r="G13" s="6" t="inlineStr">
        <is>
          <t>API</t>
        </is>
      </c>
      <c r="H13" s="6" t="inlineStr">
        <is>
          <t>P2</t>
        </is>
      </c>
      <c r="I13" s="12" t="inlineStr">
        <is>
          <t>T1 유효</t>
        </is>
      </c>
      <c r="J13" s="12" t="inlineStr">
        <is>
          <t>1. POST /v2/bot/message/validate/push에 본문 '{"messages": [' (닫히지 않은 JSON)
2. 본문 '' (빈 문자열)
3. 본문 'messages=text' (폼 형식)</t>
        </is>
      </c>
      <c r="K13" s="12" t="inlineStr">
        <is>
          <t>깨진 JSON 3종</t>
        </is>
      </c>
      <c r="L13" s="12" t="inlineStr">
        <is>
          <t>1. 400, message가 'The request body could not be parsed as JSON (line: X, column: Y)' 형식
2~3. 400이며 message가 있다. 500이 나오면 결함</t>
        </is>
      </c>
      <c r="M13" s="6" t="inlineStr"/>
      <c r="N13" s="13" t="n"/>
      <c r="O13" s="14" t="n"/>
      <c r="P13" s="13" t="n"/>
      <c r="Q13" s="13" t="n"/>
      <c r="R13" s="13" t="n"/>
      <c r="S13" s="13" t="n"/>
      <c r="T13" s="12" t="n"/>
    </row>
    <row r="14" ht="124" customHeight="1">
      <c r="A14" s="6" t="inlineStr">
        <is>
          <t>TC-CMN-004</t>
        </is>
      </c>
      <c r="B14" s="6" t="inlineStr">
        <is>
          <t>공통 계약</t>
        </is>
      </c>
      <c r="C14" s="6" t="inlineStr">
        <is>
          <t>Content-Type 변형</t>
        </is>
      </c>
      <c r="D14" s="6" t="inlineStr">
        <is>
          <t>REQ-04, REQ-05</t>
        </is>
      </c>
      <c r="E14" s="6" t="inlineStr">
        <is>
          <t>요구사항</t>
        </is>
      </c>
      <c r="F14" s="6" t="inlineStr">
        <is>
          <t>무발송</t>
        </is>
      </c>
      <c r="G14" s="6" t="inlineStr">
        <is>
          <t>API</t>
        </is>
      </c>
      <c r="H14" s="6" t="inlineStr">
        <is>
          <t>P2</t>
        </is>
      </c>
      <c r="I14" s="12" t="inlineStr">
        <is>
          <t>T1 유효, 유효 텍스트 메시지 본문</t>
        </is>
      </c>
      <c r="J14" s="12" t="inlineStr">
        <is>
          <t>1. Content-Type 헤더 없이 validate/push 전송
2. Content-Type: text/plain
3. Content-Type: application/json; charset=utf-8
4. Content-Type: multipart/form-data</t>
        </is>
      </c>
      <c r="K14" s="12" t="inlineStr">
        <is>
          <t>유효 본문 + Content-Type 4종</t>
        </is>
      </c>
      <c r="L14" s="12" t="inlineStr">
        <is>
          <t>3. 200(charset 파라미터 허용 기대)
1, 2, 4. 400 또는 415이며 message가 'The content type, XXX, is not supported' 형식인지 기록(Q06 회신 후 확정)</t>
        </is>
      </c>
      <c r="M14" s="6" t="inlineStr">
        <is>
          <t>Q06</t>
        </is>
      </c>
      <c r="N14" s="13" t="n"/>
      <c r="O14" s="14" t="n"/>
      <c r="P14" s="13" t="n"/>
      <c r="Q14" s="13" t="n"/>
      <c r="R14" s="13" t="n"/>
      <c r="S14" s="13" t="n"/>
      <c r="T14" s="12" t="n"/>
    </row>
    <row r="15" ht="94" customHeight="1">
      <c r="A15" s="6" t="inlineStr">
        <is>
          <t>TC-CMN-005</t>
        </is>
      </c>
      <c r="B15" s="6" t="inlineStr">
        <is>
          <t>공통 계약</t>
        </is>
      </c>
      <c r="C15" s="6" t="inlineStr">
        <is>
          <t>요청 크기 상한</t>
        </is>
      </c>
      <c r="D15" s="6" t="inlineStr">
        <is>
          <t>REQ-04</t>
        </is>
      </c>
      <c r="E15" s="6" t="inlineStr">
        <is>
          <t>리스크 기반</t>
        </is>
      </c>
      <c r="F15" s="6" t="inlineStr">
        <is>
          <t>무발송</t>
        </is>
      </c>
      <c r="G15" s="6" t="inlineStr">
        <is>
          <t>API</t>
        </is>
      </c>
      <c r="H15" s="6" t="inlineStr">
        <is>
          <t>P2</t>
        </is>
      </c>
      <c r="I15" s="12" t="inlineStr">
        <is>
          <t>T1 유효</t>
        </is>
      </c>
      <c r="J15" s="12" t="inlineStr">
        <is>
          <t>1. 약 1.9MB의 Flex 메시지 본문(긴 텍스트 컴포넌트 반복)으로 validate/push
2. 약 2.1MB 본문으로 validate/push
3. 응답 시간·상태 기록</t>
        </is>
      </c>
      <c r="K15" s="12" t="inlineStr">
        <is>
          <t>본문 1.9MB / 2.1MB</t>
        </is>
      </c>
      <c r="L15" s="12" t="inlineStr">
        <is>
          <t>1. 400 또는 200(메시지 객체 자체 제한에 따름) — 413이 아니어야 한다
2. 413 Payload Too Large
두 경우 모두 연결이 끊기지 않고 JSON 오류 본문이 온다</t>
        </is>
      </c>
      <c r="M15" s="6" t="inlineStr"/>
      <c r="N15" s="13" t="n"/>
      <c r="O15" s="14" t="n"/>
      <c r="P15" s="13" t="n"/>
      <c r="Q15" s="13" t="n"/>
      <c r="R15" s="13" t="n"/>
      <c r="S15" s="13" t="n"/>
      <c r="T15" s="12" t="n"/>
    </row>
    <row r="16" ht="124" customHeight="1">
      <c r="A16" s="6" t="inlineStr">
        <is>
          <t>TC-CMN-006</t>
        </is>
      </c>
      <c r="B16" s="6" t="inlineStr">
        <is>
          <t>공통 계약</t>
        </is>
      </c>
      <c r="C16" s="6" t="inlineStr">
        <is>
          <t>경로·메서드 정확성</t>
        </is>
      </c>
      <c r="D16" s="6" t="inlineStr">
        <is>
          <t>REQ-21, REQ-04</t>
        </is>
      </c>
      <c r="E16" s="6" t="inlineStr">
        <is>
          <t>추가 검증</t>
        </is>
      </c>
      <c r="F16" s="6" t="inlineStr">
        <is>
          <t>무발송</t>
        </is>
      </c>
      <c r="G16" s="6" t="inlineStr">
        <is>
          <t>API</t>
        </is>
      </c>
      <c r="H16" s="6" t="inlineStr">
        <is>
          <t>P3</t>
        </is>
      </c>
      <c r="I16" s="12" t="inlineStr">
        <is>
          <t>T1 유효</t>
        </is>
      </c>
      <c r="J16" s="12" t="inlineStr">
        <is>
          <t>1. GET /v2/bot/info/ (끝 슬래시)
2. GET /v2/bot/Info (대문자)
3. POST /v2/bot/info (메서드 불일치)
4. GET /v2/bot/message/push (메서드 불일치)</t>
        </is>
      </c>
      <c r="K16" s="12" t="inlineStr">
        <is>
          <t>경로·메서드 변형</t>
        </is>
      </c>
      <c r="L16" s="12" t="inlineStr">
        <is>
          <t>1. 문서상 동작 보장 안 됨 — 결과 기록(404 예상)
2. 404
3~4. 404 또는 405이며 500이 아니다</t>
        </is>
      </c>
      <c r="M16" s="6" t="inlineStr"/>
      <c r="N16" s="13" t="n"/>
      <c r="O16" s="14" t="n"/>
      <c r="P16" s="13" t="n"/>
      <c r="Q16" s="13" t="n"/>
      <c r="R16" s="13" t="n"/>
      <c r="S16" s="13" t="n"/>
      <c r="T16" s="12" t="n"/>
    </row>
    <row r="17" ht="94" customHeight="1">
      <c r="A17" s="6" t="inlineStr">
        <is>
          <t>TC-CMN-007</t>
        </is>
      </c>
      <c r="B17" s="6" t="inlineStr">
        <is>
          <t>공통 계약</t>
        </is>
      </c>
      <c r="C17" s="6" t="inlineStr">
        <is>
          <t>미지 필드 무시</t>
        </is>
      </c>
      <c r="D17" s="6" t="inlineStr">
        <is>
          <t>REQ-22</t>
        </is>
      </c>
      <c r="E17" s="6" t="inlineStr">
        <is>
          <t>요구사항</t>
        </is>
      </c>
      <c r="F17" s="6" t="inlineStr">
        <is>
          <t>무발송</t>
        </is>
      </c>
      <c r="G17" s="6" t="inlineStr">
        <is>
          <t>API</t>
        </is>
      </c>
      <c r="H17" s="6" t="inlineStr">
        <is>
          <t>P2</t>
        </is>
      </c>
      <c r="I17" s="12" t="inlineStr">
        <is>
          <t>T1 유효</t>
        </is>
      </c>
      <c r="J17" s="12" t="inlineStr">
        <is>
          <t>1. validate/push 본문에 정의되지 않은 최상위 필드 'extra': 1 추가
2. 메시지 객체에 정의되지 않은 필드 'foo': 'bar' 추가
3. 각각 응답 확인</t>
        </is>
      </c>
      <c r="K17" s="12" t="inlineStr">
        <is>
          <t>유효 텍스트 메시지 + 미지 필드</t>
        </is>
      </c>
      <c r="L17" s="12" t="inlineStr">
        <is>
          <t>1~2. 현재 동작 기록: 200(무시) 또는 400(엄격 검증). 어느 쪽이든 클라이언트 SDK가 미지 응답 필드를 무시하도록 설계(비파괴 변경 대비)되어야 하며, 결과는 자동화 assertion 기준으로 채택</t>
        </is>
      </c>
      <c r="M17" s="6" t="inlineStr"/>
      <c r="N17" s="13" t="n"/>
      <c r="O17" s="14" t="n"/>
      <c r="P17" s="13" t="n"/>
      <c r="Q17" s="13" t="n"/>
      <c r="R17" s="13" t="n"/>
      <c r="S17" s="13" t="n"/>
      <c r="T17" s="12" t="n"/>
    </row>
    <row r="18" ht="109" customHeight="1">
      <c r="A18" s="6" t="inlineStr">
        <is>
          <t>TC-CMN-008</t>
        </is>
      </c>
      <c r="B18" s="6" t="inlineStr">
        <is>
          <t>공통 계약</t>
        </is>
      </c>
      <c r="C18" s="6" t="inlineStr">
        <is>
          <t>응답 필드 추가 내성</t>
        </is>
      </c>
      <c r="D18" s="6" t="inlineStr">
        <is>
          <t>REQ-22</t>
        </is>
      </c>
      <c r="E18" s="6" t="inlineStr">
        <is>
          <t>리스크 기반</t>
        </is>
      </c>
      <c r="F18" s="6" t="inlineStr">
        <is>
          <t>무발송</t>
        </is>
      </c>
      <c r="G18" s="6" t="inlineStr">
        <is>
          <t>API</t>
        </is>
      </c>
      <c r="H18" s="6" t="inlineStr">
        <is>
          <t>P2</t>
        </is>
      </c>
      <c r="I18" s="12" t="inlineStr">
        <is>
          <t>모의 서버 MK1 구동, 클라이언트(SDK 래퍼) 준비</t>
        </is>
      </c>
      <c r="J18" s="12" t="inlineStr">
        <is>
          <t>1. MK1이 GET /v2/bot/info 응답에 미지 필드 'newField'를 추가하고 필드 순서를 바꿔 반환하도록 설정
2. 웹훅 수신 본문에 미지 이벤트 type 'futureEvent'와 미지 속성이 포함된 요청을 봇서버 B1에 전송
3. 클라이언트·봇서버 동작 확인</t>
        </is>
      </c>
      <c r="K18" s="12" t="inlineStr">
        <is>
          <t>MK1 응답 변형, 미지 이벤트 웹훅</t>
        </is>
      </c>
      <c r="L18" s="12" t="inlineStr">
        <is>
          <t>1. 클라이언트가 예외 없이 기존 필드를 파싱한다
2. 봇서버가 미지 이벤트를 무시(로그만)하고 200을 반환하며 같은 배열의 다른 이벤트는 정상 처리한다</t>
        </is>
      </c>
      <c r="M18" s="6" t="inlineStr"/>
      <c r="N18" s="13" t="n"/>
      <c r="O18" s="14" t="n"/>
      <c r="P18" s="13" t="n"/>
      <c r="Q18" s="13" t="n"/>
      <c r="R18" s="13" t="n"/>
      <c r="S18" s="13" t="n"/>
      <c r="T18" s="12" t="n"/>
    </row>
    <row r="19" ht="109" customHeight="1">
      <c r="A19" s="6" t="inlineStr">
        <is>
          <t>TC-CMN-009</t>
        </is>
      </c>
      <c r="B19" s="6" t="inlineStr">
        <is>
          <t>공통 계약</t>
        </is>
      </c>
      <c r="C19" s="6" t="inlineStr">
        <is>
          <t>도메인 분리</t>
        </is>
      </c>
      <c r="D19" s="6" t="inlineStr">
        <is>
          <t>REQ-20</t>
        </is>
      </c>
      <c r="E19" s="6" t="inlineStr">
        <is>
          <t>요구사항</t>
        </is>
      </c>
      <c r="F19" s="6" t="inlineStr">
        <is>
          <t>무발송</t>
        </is>
      </c>
      <c r="G19" s="6" t="inlineStr">
        <is>
          <t>API</t>
        </is>
      </c>
      <c r="H19" s="6" t="inlineStr">
        <is>
          <t>P3</t>
        </is>
      </c>
      <c r="I19" s="12" t="inlineStr">
        <is>
          <t>T1 유효, 웹훅으로 받은 이미지 messageId</t>
        </is>
      </c>
      <c r="J19" s="12" t="inlineStr">
        <is>
          <t>1. GET https://api.line.me/v2/bot/message/{messageId}/content (잘못된 도메인)
2. GET https://api-data.line.me/v2/bot/message/{messageId}/content (정상 도메인)</t>
        </is>
      </c>
      <c r="K19" s="12" t="inlineStr">
        <is>
          <t>이미지 messageId</t>
        </is>
      </c>
      <c r="L19" s="12" t="inlineStr">
        <is>
          <t>1. 404 또는 오류(문서: 콘텐츠는 api-data 도메인)
2. 200, Content-Type이 image/*이고 바이너리가 수신된다</t>
        </is>
      </c>
      <c r="M19" s="6" t="inlineStr"/>
      <c r="N19" s="13" t="n"/>
      <c r="O19" s="14" t="n"/>
      <c r="P19" s="13" t="n"/>
      <c r="Q19" s="13" t="n"/>
      <c r="R19" s="13" t="n"/>
      <c r="S19" s="13" t="n"/>
      <c r="T19" s="12" t="n"/>
    </row>
    <row r="20" ht="154" customHeight="1">
      <c r="A20" s="6" t="inlineStr">
        <is>
          <t>TC-RPL-001</t>
        </is>
      </c>
      <c r="B20" s="6" t="inlineStr">
        <is>
          <t>응답 메시지</t>
        </is>
      </c>
      <c r="C20" s="6" t="inlineStr">
        <is>
          <t>정상 응답</t>
        </is>
      </c>
      <c r="D20" s="6" t="inlineStr">
        <is>
          <t>REQ-06, REQ-15</t>
        </is>
      </c>
      <c r="E20" s="6" t="inlineStr">
        <is>
          <t>요구사항</t>
        </is>
      </c>
      <c r="F20" s="6" t="inlineStr">
        <is>
          <t>발송</t>
        </is>
      </c>
      <c r="G20" s="6" t="inlineStr">
        <is>
          <t>UI</t>
        </is>
      </c>
      <c r="H20" s="6" t="inlineStr">
        <is>
          <t>P1</t>
        </is>
      </c>
      <c r="I20" s="12" t="inlineStr">
        <is>
          <t>봇서버 B1 웹훅 수신 중, 테스트 사용자 U1이 CH1 친구</t>
        </is>
      </c>
      <c r="J20" s="12" t="inlineStr">
        <is>
          <t>1. U1이 LINE 앱에서 봇에 텍스트 전송
2. B1이 수신한 message 이벤트의 replyToken·webhookEventId 기록
3. 10초 내 POST /v2/bot/message/reply(replyToken, messages=[text 1건])
4. 응답 본문 확인, U1 앱에서 도달 확인</t>
        </is>
      </c>
      <c r="K20" s="12" t="inlineStr">
        <is>
          <t>U1, 텍스트 1건</t>
        </is>
      </c>
      <c r="L20" s="12" t="inlineStr">
        <is>
          <t>3. 200, sentMessages[0].id(숫자 문자열)와 quoteToken이 있다
4. U1 채팅방에 메시지가 표시된다</t>
        </is>
      </c>
      <c r="M20" s="6" t="inlineStr"/>
      <c r="N20" s="13" t="n"/>
      <c r="O20" s="14" t="n"/>
      <c r="P20" s="13" t="n"/>
      <c r="Q20" s="13" t="n"/>
      <c r="R20" s="13" t="n"/>
      <c r="S20" s="13" t="n"/>
      <c r="T20" s="12" t="n"/>
    </row>
    <row r="21" ht="49" customHeight="1">
      <c r="A21" s="6" t="inlineStr">
        <is>
          <t>TC-RPL-002</t>
        </is>
      </c>
      <c r="B21" s="6" t="inlineStr">
        <is>
          <t>응답 메시지</t>
        </is>
      </c>
      <c r="C21" s="6" t="inlineStr">
        <is>
          <t>토큰 재사용</t>
        </is>
      </c>
      <c r="D21" s="6" t="inlineStr">
        <is>
          <t>REQ-06, REQ-05</t>
        </is>
      </c>
      <c r="E21" s="6" t="inlineStr">
        <is>
          <t>요구사항</t>
        </is>
      </c>
      <c r="F21" s="6" t="inlineStr">
        <is>
          <t>발송</t>
        </is>
      </c>
      <c r="G21" s="6" t="inlineStr">
        <is>
          <t>API</t>
        </is>
      </c>
      <c r="H21" s="6" t="inlineStr">
        <is>
          <t>P1</t>
        </is>
      </c>
      <c r="I21" s="12" t="inlineStr">
        <is>
          <t>TC-RPL-001 직후, 같은 replyToken 보유</t>
        </is>
      </c>
      <c r="J21" s="12" t="inlineStr">
        <is>
          <t>1. 같은 replyToken으로 reply 재요청
2. 응답 상태·본문 기록</t>
        </is>
      </c>
      <c r="K21" s="12" t="inlineStr">
        <is>
          <t>사용된 replyToken</t>
        </is>
      </c>
      <c r="L21" s="12" t="inlineStr">
        <is>
          <t>1. 400, message='Invalid reply token'
2. U1에게 두 번째 메시지가 도달하지 않는다</t>
        </is>
      </c>
      <c r="M21" s="6" t="inlineStr"/>
      <c r="N21" s="13" t="n"/>
      <c r="O21" s="14" t="n"/>
      <c r="P21" s="13" t="n"/>
      <c r="Q21" s="13" t="n"/>
      <c r="R21" s="13" t="n"/>
      <c r="S21" s="13" t="n"/>
      <c r="T21" s="12" t="n"/>
    </row>
    <row r="22" ht="79" customHeight="1">
      <c r="A22" s="6" t="inlineStr">
        <is>
          <t>TC-RPL-003</t>
        </is>
      </c>
      <c r="B22" s="6" t="inlineStr">
        <is>
          <t>응답 메시지</t>
        </is>
      </c>
      <c r="C22" s="6" t="inlineStr">
        <is>
          <t>토큰 만료 경계</t>
        </is>
      </c>
      <c r="D22" s="6" t="inlineStr">
        <is>
          <t>REQ-06</t>
        </is>
      </c>
      <c r="E22" s="6" t="inlineStr">
        <is>
          <t>요구사항</t>
        </is>
      </c>
      <c r="F22" s="6" t="inlineStr">
        <is>
          <t>발송</t>
        </is>
      </c>
      <c r="G22" s="6" t="inlineStr">
        <is>
          <t>수동</t>
        </is>
      </c>
      <c r="H22" s="6" t="inlineStr">
        <is>
          <t>P2</t>
        </is>
      </c>
      <c r="I22" s="12" t="inlineStr">
        <is>
          <t>B1 수신 중, U1 메시지 3건을 시차를 두고 전송해 replyToken 3개 확보</t>
        </is>
      </c>
      <c r="J22" s="12" t="inlineStr">
        <is>
          <t>1. 토큰 A는 수신 55초 후 reply
2. 토큰 B는 수신 65초 후 reply
3. 토큰 C는 수신 20분 30초 후 reply
4. 각 결과를 3회(별도 토큰) 반복 측정</t>
        </is>
      </c>
      <c r="K22" s="12" t="inlineStr">
        <is>
          <t>replyToken 3개 × 3회</t>
        </is>
      </c>
      <c r="L22" s="12" t="inlineStr">
        <is>
          <t>1. 200(1분 이내 보장)
2~3. 400 'Invalid reply token' 예상이나 문서상 비보장 영역 — 분포를 기록하고 '관찰'로 판정(Q07). 설계 결론: 토큰은 수신 즉시 사용</t>
        </is>
      </c>
      <c r="M22" s="6" t="inlineStr">
        <is>
          <t>Q07</t>
        </is>
      </c>
      <c r="N22" s="13" t="n"/>
      <c r="O22" s="14" t="n"/>
      <c r="P22" s="13" t="n"/>
      <c r="Q22" s="13" t="n"/>
      <c r="R22" s="13" t="n"/>
      <c r="S22" s="13" t="n"/>
      <c r="T22" s="12" t="n"/>
    </row>
    <row r="23" ht="94" customHeight="1">
      <c r="A23" s="6" t="inlineStr">
        <is>
          <t>TC-RPL-004</t>
        </is>
      </c>
      <c r="B23" s="6" t="inlineStr">
        <is>
          <t>응답 메시지</t>
        </is>
      </c>
      <c r="C23" s="6" t="inlineStr">
        <is>
          <t>메시지 수 경계</t>
        </is>
      </c>
      <c r="D23" s="6" t="inlineStr">
        <is>
          <t>REQ-06, REQ-12</t>
        </is>
      </c>
      <c r="E23" s="6" t="inlineStr">
        <is>
          <t>요구사항</t>
        </is>
      </c>
      <c r="F23" s="6" t="inlineStr">
        <is>
          <t>발송</t>
        </is>
      </c>
      <c r="G23" s="6" t="inlineStr">
        <is>
          <t>UI</t>
        </is>
      </c>
      <c r="H23" s="6" t="inlineStr">
        <is>
          <t>P1</t>
        </is>
      </c>
      <c r="I23" s="12" t="inlineStr">
        <is>
          <t>replyToken 2개 확보(각각 1분 내 사용)</t>
        </is>
      </c>
      <c r="J23" s="12" t="inlineStr">
        <is>
          <t>1. messages 5개(text 5건)로 reply
2. 새 토큰으로 messages 6개로 reply
3. 새 토큰으로 messages 0개([])로 reply</t>
        </is>
      </c>
      <c r="K23" s="12" t="inlineStr">
        <is>
          <t>텍스트 5건 / 6건 / 0건</t>
        </is>
      </c>
      <c r="L23" s="12" t="inlineStr">
        <is>
          <t>1. 200, sentMessages 5개, U1에 5건 도달
2. 400, details.property가 messages를 가리킨다(Q04)
3. 400 — 발송 없음</t>
        </is>
      </c>
      <c r="M23" s="6" t="inlineStr">
        <is>
          <t>Q04</t>
        </is>
      </c>
      <c r="N23" s="13" t="n"/>
      <c r="O23" s="14" t="n"/>
      <c r="P23" s="13" t="n"/>
      <c r="Q23" s="13" t="n"/>
      <c r="R23" s="13" t="n"/>
      <c r="S23" s="13" t="n"/>
      <c r="T23" s="12" t="n"/>
    </row>
    <row r="24" ht="139" customHeight="1">
      <c r="A24" s="6" t="inlineStr">
        <is>
          <t>TC-RPL-005</t>
        </is>
      </c>
      <c r="B24" s="6" t="inlineStr">
        <is>
          <t>응답 메시지</t>
        </is>
      </c>
      <c r="C24" s="6" t="inlineStr">
        <is>
          <t>재전송 웹훅 토큰</t>
        </is>
      </c>
      <c r="D24" s="6" t="inlineStr">
        <is>
          <t>REQ-06, REQ-16</t>
        </is>
      </c>
      <c r="E24" s="6" t="inlineStr">
        <is>
          <t>요구사항</t>
        </is>
      </c>
      <c r="F24" s="6" t="inlineStr">
        <is>
          <t>발송</t>
        </is>
      </c>
      <c r="G24" s="6" t="inlineStr">
        <is>
          <t>수동</t>
        </is>
      </c>
      <c r="H24" s="6" t="inlineStr">
        <is>
          <t>P2</t>
        </is>
      </c>
      <c r="I24" s="12" t="inlineStr">
        <is>
          <t>CH1 웹훅 재전송 ON, B1을 500 응답 모드로 설정</t>
        </is>
      </c>
      <c r="J24" s="12" t="inlineStr">
        <is>
          <t>1. U1이 봇에 메시지 전송 → B1이 500 반환(토큰 미사용, 기록만)
2. B1을 200 모드로 복구하고 재전송 웹훅(isRedelivery=true) 수신 대기
3. 재전송 수신 1분 내 그 replyToken으로 reply
4. 별도 건: 원본에서 토큰을 사용한 뒤 재전송 토큰으로 reply</t>
        </is>
      </c>
      <c r="K24" s="12" t="inlineStr">
        <is>
          <t>U1, B1 응답 모드 전환</t>
        </is>
      </c>
      <c r="L24" s="12" t="inlineStr">
        <is>
          <t>2. 재전송 이벤트의 replyToken·webhookEventId가 원본과 동일하다
3. 200(원본 미사용 + 발생 20분 이내)
4. 400 'Invalid reply token'</t>
        </is>
      </c>
      <c r="M24" s="6" t="inlineStr"/>
      <c r="N24" s="13" t="n"/>
      <c r="O24" s="14" t="n"/>
      <c r="P24" s="13" t="n"/>
      <c r="Q24" s="13" t="n"/>
      <c r="R24" s="13" t="n"/>
      <c r="S24" s="13" t="n"/>
      <c r="T24" s="12" t="n"/>
    </row>
    <row r="25" ht="64" customHeight="1">
      <c r="A25" s="6" t="inlineStr">
        <is>
          <t>TC-RPL-006</t>
        </is>
      </c>
      <c r="B25" s="6" t="inlineStr">
        <is>
          <t>응답 메시지</t>
        </is>
      </c>
      <c r="C25" s="6" t="inlineStr">
        <is>
          <t>standby 모드</t>
        </is>
      </c>
      <c r="D25" s="6" t="inlineStr">
        <is>
          <t>REQ-15</t>
        </is>
      </c>
      <c r="E25" s="6" t="inlineStr">
        <is>
          <t>요구사항</t>
        </is>
      </c>
      <c r="F25" s="6" t="inlineStr">
        <is>
          <t>무발송</t>
        </is>
      </c>
      <c r="G25" s="6" t="inlineStr">
        <is>
          <t>API</t>
        </is>
      </c>
      <c r="H25" s="6" t="inlineStr">
        <is>
          <t>P3</t>
        </is>
      </c>
      <c r="I25" s="12" t="inlineStr">
        <is>
          <t>B1 수신 중(모듈 채널 연동 환경은 없음)</t>
        </is>
      </c>
      <c r="J25" s="12" t="inlineStr">
        <is>
          <t>1. B1에 mode='standby'이고 replyToken이 없는 message 이벤트를 서명 포함해 로컬 주입
2. 봇서버 처리 로직 확인</t>
        </is>
      </c>
      <c r="K25" s="12" t="inlineStr">
        <is>
          <t>standby 이벤트 샘플</t>
        </is>
      </c>
      <c r="L25" s="12" t="inlineStr">
        <is>
          <t>1. 봇서버가 reply/push를 시도하지 않고 200만 반환한다(문서: standby 중 발송 금지)
2. 로그에 standby 사유가 남는다</t>
        </is>
      </c>
      <c r="M25" s="6" t="inlineStr"/>
      <c r="N25" s="13" t="n"/>
      <c r="O25" s="14" t="n"/>
      <c r="P25" s="13" t="n"/>
      <c r="Q25" s="13" t="n"/>
      <c r="R25" s="13" t="n"/>
      <c r="S25" s="13" t="n"/>
      <c r="T25" s="12" t="n"/>
    </row>
    <row r="26" ht="64" customHeight="1">
      <c r="A26" s="6" t="inlineStr">
        <is>
          <t>TC-RPL-007</t>
        </is>
      </c>
      <c r="B26" s="6" t="inlineStr">
        <is>
          <t>응답 메시지</t>
        </is>
      </c>
      <c r="C26" s="6" t="inlineStr">
        <is>
          <t>리트라이 키 미지원</t>
        </is>
      </c>
      <c r="D26" s="6" t="inlineStr">
        <is>
          <t>REQ-11</t>
        </is>
      </c>
      <c r="E26" s="6" t="inlineStr">
        <is>
          <t>요구사항</t>
        </is>
      </c>
      <c r="F26" s="6" t="inlineStr">
        <is>
          <t>발송</t>
        </is>
      </c>
      <c r="G26" s="6" t="inlineStr">
        <is>
          <t>API</t>
        </is>
      </c>
      <c r="H26" s="6" t="inlineStr">
        <is>
          <t>P2</t>
        </is>
      </c>
      <c r="I26" s="12" t="inlineStr">
        <is>
          <t>replyToken 1개 확보</t>
        </is>
      </c>
      <c r="J26" s="12" t="inlineStr">
        <is>
          <t>1. reply 요청에 X-Line-Retry-Key: {UUID} 헤더 추가
2. 응답 기록</t>
        </is>
      </c>
      <c r="K26" s="12" t="inlineStr">
        <is>
          <t>유효 replyToken, UUID</t>
        </is>
      </c>
      <c r="L26" s="12" t="inlineStr">
        <is>
          <t>1. 400(미지원 엔드포인트에 리트라이 키 지정)
2. 메시지 미발송, 토큰은 소모되지 않아 키 없이 재요청하면 200(확인용)</t>
        </is>
      </c>
      <c r="M26" s="6" t="inlineStr"/>
      <c r="N26" s="13" t="n"/>
      <c r="O26" s="14" t="n"/>
      <c r="P26" s="13" t="n"/>
      <c r="Q26" s="13" t="n"/>
      <c r="R26" s="13" t="n"/>
      <c r="S26" s="13" t="n"/>
      <c r="T26" s="12" t="n"/>
    </row>
    <row r="27" ht="94" customHeight="1">
      <c r="A27" s="6" t="inlineStr">
        <is>
          <t>TC-PSH-001</t>
        </is>
      </c>
      <c r="B27" s="6" t="inlineStr">
        <is>
          <t>푸시 메시지</t>
        </is>
      </c>
      <c r="C27" s="6" t="inlineStr">
        <is>
          <t>정상 발송(user)</t>
        </is>
      </c>
      <c r="D27" s="6" t="inlineStr">
        <is>
          <t>REQ-07</t>
        </is>
      </c>
      <c r="E27" s="6" t="inlineStr">
        <is>
          <t>요구사항</t>
        </is>
      </c>
      <c r="F27" s="6" t="inlineStr">
        <is>
          <t>발송</t>
        </is>
      </c>
      <c r="G27" s="6" t="inlineStr">
        <is>
          <t>UI</t>
        </is>
      </c>
      <c r="H27" s="6" t="inlineStr">
        <is>
          <t>P1</t>
        </is>
      </c>
      <c r="I27" s="12" t="inlineStr">
        <is>
          <t>U1이 CH1 친구, U1 userId 확보(웹훅 source.userId)</t>
        </is>
      </c>
      <c r="J27" s="12" t="inlineStr">
        <is>
          <t>1. POST /v2/bot/message/push {to: U1, messages: [text]} + X-Line-Retry-Key
2. 응답 본문·헤더 확인
3. U1 앱에서 도달·알림 확인</t>
        </is>
      </c>
      <c r="K27" s="12" t="inlineStr">
        <is>
          <t>U1, 텍스트 1건, RK1</t>
        </is>
      </c>
      <c r="L27" s="12" t="inlineStr">
        <is>
          <t>1. 200, sentMessages[0].id·quoteToken
2. X-Line-Request-Id 존재
3. 메시지 도달, 푸시 알림 수신</t>
        </is>
      </c>
      <c r="M27" s="6" t="inlineStr"/>
      <c r="N27" s="13" t="n"/>
      <c r="O27" s="14" t="n"/>
      <c r="P27" s="13" t="n"/>
      <c r="Q27" s="13" t="n"/>
      <c r="R27" s="13" t="n"/>
      <c r="S27" s="13" t="n"/>
      <c r="T27" s="12" t="n"/>
    </row>
    <row r="28" ht="34" customHeight="1">
      <c r="A28" s="6" t="inlineStr">
        <is>
          <t>TC-PSH-002</t>
        </is>
      </c>
      <c r="B28" s="6" t="inlineStr">
        <is>
          <t>푸시 메시지</t>
        </is>
      </c>
      <c r="C28" s="6" t="inlineStr">
        <is>
          <t>정상 발송(group)</t>
        </is>
      </c>
      <c r="D28" s="6" t="inlineStr">
        <is>
          <t>REQ-07, REQ-15</t>
        </is>
      </c>
      <c r="E28" s="6" t="inlineStr">
        <is>
          <t>요구사항</t>
        </is>
      </c>
      <c r="F28" s="6" t="inlineStr">
        <is>
          <t>발송</t>
        </is>
      </c>
      <c r="G28" s="6" t="inlineStr">
        <is>
          <t>UI</t>
        </is>
      </c>
      <c r="H28" s="6" t="inlineStr">
        <is>
          <t>P2</t>
        </is>
      </c>
      <c r="I28" s="12" t="inlineStr">
        <is>
          <t>봇이 그룹 G1에 참여, G1 groupId 확보</t>
        </is>
      </c>
      <c r="J28" s="12" t="inlineStr">
        <is>
          <t>1. to=G1 groupId로 push
2. 그룹 채팅에서 도달 확인</t>
        </is>
      </c>
      <c r="K28" s="12" t="inlineStr">
        <is>
          <t>G1</t>
        </is>
      </c>
      <c r="L28" s="12" t="inlineStr">
        <is>
          <t>1. 200
2. 그룹의 모든 구성원에게 메시지가 표시된다</t>
        </is>
      </c>
      <c r="M28" s="6" t="inlineStr"/>
      <c r="N28" s="13" t="n"/>
      <c r="O28" s="14" t="n"/>
      <c r="P28" s="13" t="n"/>
      <c r="Q28" s="13" t="n"/>
      <c r="R28" s="13" t="n"/>
      <c r="S28" s="13" t="n"/>
      <c r="T28" s="12" t="n"/>
    </row>
    <row r="29" ht="79" customHeight="1">
      <c r="A29" s="6" t="inlineStr">
        <is>
          <t>TC-PSH-003</t>
        </is>
      </c>
      <c r="B29" s="6" t="inlineStr">
        <is>
          <t>푸시 메시지</t>
        </is>
      </c>
      <c r="C29" s="6" t="inlineStr">
        <is>
          <t>차단 사용자</t>
        </is>
      </c>
      <c r="D29" s="6" t="inlineStr">
        <is>
          <t>REQ-07</t>
        </is>
      </c>
      <c r="E29" s="6" t="inlineStr">
        <is>
          <t>요구사항</t>
        </is>
      </c>
      <c r="F29" s="6" t="inlineStr">
        <is>
          <t>발송</t>
        </is>
      </c>
      <c r="G29" s="6" t="inlineStr">
        <is>
          <t>UI</t>
        </is>
      </c>
      <c r="H29" s="6" t="inlineStr">
        <is>
          <t>P1</t>
        </is>
      </c>
      <c r="I29" s="12" t="inlineStr">
        <is>
          <t>U2가 CH1을 친구 추가 후 차단</t>
        </is>
      </c>
      <c r="J29" s="12" t="inlineStr">
        <is>
          <t>1. to=U2로 push
2. 응답 기록
3. U2 앱에서 차단 해제 후 채팅방 확인</t>
        </is>
      </c>
      <c r="K29" s="12" t="inlineStr">
        <is>
          <t>U2(차단)</t>
        </is>
      </c>
      <c r="L29" s="12" t="inlineStr">
        <is>
          <t>1. 200(문서: 차단 사용자도 200)
2. sentMessages가 반환된다
3. 차단 중 보낸 메시지는 표시되지 않는다(미도달) — 발송 성공 ≠ 도달을 설계 노트에 반영</t>
        </is>
      </c>
      <c r="M29" s="6" t="inlineStr"/>
      <c r="N29" s="13" t="n"/>
      <c r="O29" s="14" t="n"/>
      <c r="P29" s="13" t="n"/>
      <c r="Q29" s="13" t="n"/>
      <c r="R29" s="13" t="n"/>
      <c r="S29" s="13" t="n"/>
      <c r="T29" s="12" t="n"/>
    </row>
    <row r="30" ht="64" customHeight="1">
      <c r="A30" s="6" t="inlineStr">
        <is>
          <t>TC-PSH-004</t>
        </is>
      </c>
      <c r="B30" s="6" t="inlineStr">
        <is>
          <t>푸시 메시지</t>
        </is>
      </c>
      <c r="C30" s="6" t="inlineStr">
        <is>
          <t>타 채널 userId</t>
        </is>
      </c>
      <c r="D30" s="6" t="inlineStr">
        <is>
          <t>REQ-07, REQ-05</t>
        </is>
      </c>
      <c r="E30" s="6" t="inlineStr">
        <is>
          <t>요구사항</t>
        </is>
      </c>
      <c r="F30" s="6" t="inlineStr">
        <is>
          <t>발송</t>
        </is>
      </c>
      <c r="G30" s="6" t="inlineStr">
        <is>
          <t>API</t>
        </is>
      </c>
      <c r="H30" s="6" t="inlineStr">
        <is>
          <t>P1</t>
        </is>
      </c>
      <c r="I30" s="12" t="inlineStr">
        <is>
          <t>다른 프로바이더 채널 CH2에서 얻은 U1의 userId(값이 다름) 확보</t>
        </is>
      </c>
      <c r="J30" s="12" t="inlineStr">
        <is>
          <t>1. CH1 토큰으로 to={CH2 기준 userId}로 push 1회
2. 응답 기록(가이드라인상 무효 ID 반복 요청 금지 — 1회만)</t>
        </is>
      </c>
      <c r="K30" s="12" t="inlineStr">
        <is>
          <t>CH2 userId</t>
        </is>
      </c>
      <c r="L30" s="12" t="inlineStr">
        <is>
          <t>1. 400, message='Failed to send messages' 계열
2. 미도달</t>
        </is>
      </c>
      <c r="M30" s="6" t="inlineStr"/>
      <c r="N30" s="13" t="n"/>
      <c r="O30" s="14" t="n"/>
      <c r="P30" s="13" t="n"/>
      <c r="Q30" s="13" t="n"/>
      <c r="R30" s="13" t="n"/>
      <c r="S30" s="13" t="n"/>
      <c r="T30" s="12" t="n"/>
    </row>
    <row r="31" ht="34" customHeight="1">
      <c r="A31" s="6" t="inlineStr">
        <is>
          <t>TC-PSH-005</t>
        </is>
      </c>
      <c r="B31" s="6" t="inlineStr">
        <is>
          <t>푸시 메시지</t>
        </is>
      </c>
      <c r="C31" s="6" t="inlineStr">
        <is>
          <t>미참여 그룹</t>
        </is>
      </c>
      <c r="D31" s="6" t="inlineStr">
        <is>
          <t>REQ-07</t>
        </is>
      </c>
      <c r="E31" s="6" t="inlineStr">
        <is>
          <t>요구사항</t>
        </is>
      </c>
      <c r="F31" s="6" t="inlineStr">
        <is>
          <t>발송</t>
        </is>
      </c>
      <c r="G31" s="6" t="inlineStr">
        <is>
          <t>API</t>
        </is>
      </c>
      <c r="H31" s="6" t="inlineStr">
        <is>
          <t>P2</t>
        </is>
      </c>
      <c r="I31" s="12" t="inlineStr">
        <is>
          <t>봇이 탈퇴한 그룹 G2의 groupId 확보</t>
        </is>
      </c>
      <c r="J31" s="12" t="inlineStr">
        <is>
          <t>1. to=G2로 push 1회</t>
        </is>
      </c>
      <c r="K31" s="12" t="inlineStr">
        <is>
          <t>G2</t>
        </is>
      </c>
      <c r="L31" s="12" t="inlineStr">
        <is>
          <t>1. 400, 발송 없음</t>
        </is>
      </c>
      <c r="M31" s="6" t="inlineStr"/>
      <c r="N31" s="13" t="n"/>
      <c r="O31" s="14" t="n"/>
      <c r="P31" s="13" t="n"/>
      <c r="Q31" s="13" t="n"/>
      <c r="R31" s="13" t="n"/>
      <c r="S31" s="13" t="n"/>
      <c r="T31" s="12" t="n"/>
    </row>
    <row r="32" ht="49" customHeight="1">
      <c r="A32" s="6" t="inlineStr">
        <is>
          <t>TC-PSH-006</t>
        </is>
      </c>
      <c r="B32" s="6" t="inlineStr">
        <is>
          <t>푸시 메시지</t>
        </is>
      </c>
      <c r="C32" s="6" t="inlineStr">
        <is>
          <t>7일 창(미친구)</t>
        </is>
      </c>
      <c r="D32" s="6" t="inlineStr">
        <is>
          <t>REQ-07</t>
        </is>
      </c>
      <c r="E32" s="6" t="inlineStr">
        <is>
          <t>요구사항</t>
        </is>
      </c>
      <c r="F32" s="6" t="inlineStr">
        <is>
          <t>발송</t>
        </is>
      </c>
      <c r="G32" s="6" t="inlineStr">
        <is>
          <t>수동</t>
        </is>
      </c>
      <c r="H32" s="6" t="inlineStr">
        <is>
          <t>P2</t>
        </is>
      </c>
      <c r="I32" s="12" t="inlineStr">
        <is>
          <t>U3가 친구 추가 없이 봇에 1:1 메시지를 보낸 지 1일 이내</t>
        </is>
      </c>
      <c r="J32" s="12" t="inlineStr">
        <is>
          <t>1. to=U3로 push
2. U3 앱 확인
3. (장기) 8일 후 같은 요청</t>
        </is>
      </c>
      <c r="K32" s="12" t="inlineStr">
        <is>
          <t>U3</t>
        </is>
      </c>
      <c r="L32" s="12" t="inlineStr">
        <is>
          <t>1. 200
2. 도달한다(7일 창)
3. 200이지만 미도달 — 결과 기록</t>
        </is>
      </c>
      <c r="M32" s="6" t="inlineStr"/>
      <c r="N32" s="13" t="n"/>
      <c r="O32" s="14" t="n"/>
      <c r="P32" s="13" t="n"/>
      <c r="Q32" s="13" t="n"/>
      <c r="R32" s="13" t="n"/>
      <c r="S32" s="13" t="n"/>
      <c r="T32" s="12" t="n"/>
    </row>
    <row r="33" ht="94" customHeight="1">
      <c r="A33" s="6" t="inlineStr">
        <is>
          <t>TC-PSH-007</t>
        </is>
      </c>
      <c r="B33" s="6" t="inlineStr">
        <is>
          <t>푸시 메시지</t>
        </is>
      </c>
      <c r="C33" s="6" t="inlineStr">
        <is>
          <t>notificationDisabled</t>
        </is>
      </c>
      <c r="D33" s="6" t="inlineStr">
        <is>
          <t>REQ-07</t>
        </is>
      </c>
      <c r="E33" s="6" t="inlineStr">
        <is>
          <t>요구사항</t>
        </is>
      </c>
      <c r="F33" s="6" t="inlineStr">
        <is>
          <t>발송</t>
        </is>
      </c>
      <c r="G33" s="6" t="inlineStr">
        <is>
          <t>UI</t>
        </is>
      </c>
      <c r="H33" s="6" t="inlineStr">
        <is>
          <t>P3</t>
        </is>
      </c>
      <c r="I33" s="12" t="inlineStr">
        <is>
          <t>U1 알림 허용 상태</t>
        </is>
      </c>
      <c r="J33" s="12" t="inlineStr">
        <is>
          <t>1. notificationDisabled=true로 push
2. notificationDisabled=false로 push
3. notificationDisabled='true'(문자열)로 push</t>
        </is>
      </c>
      <c r="K33" s="12" t="inlineStr">
        <is>
          <t>U1</t>
        </is>
      </c>
      <c r="L33" s="12" t="inlineStr">
        <is>
          <t>1. 200, 메시지는 도달하지만 알림 배너·소리 없음
2. 200, 알림 수신
3. 현재 동작 기록(Q12)</t>
        </is>
      </c>
      <c r="M33" s="6" t="inlineStr">
        <is>
          <t>Q12</t>
        </is>
      </c>
      <c r="N33" s="13" t="n"/>
      <c r="O33" s="14" t="n"/>
      <c r="P33" s="13" t="n"/>
      <c r="Q33" s="13" t="n"/>
      <c r="R33" s="13" t="n"/>
      <c r="S33" s="13" t="n"/>
      <c r="T33" s="12" t="n"/>
    </row>
    <row r="34" ht="94" customHeight="1">
      <c r="A34" s="6" t="inlineStr">
        <is>
          <t>TC-PSH-008</t>
        </is>
      </c>
      <c r="B34" s="6" t="inlineStr">
        <is>
          <t>푸시 메시지</t>
        </is>
      </c>
      <c r="C34" s="6" t="inlineStr">
        <is>
          <t>customAggregationUnits 검증</t>
        </is>
      </c>
      <c r="D34" s="6" t="inlineStr">
        <is>
          <t>REQ-07, REQ-05</t>
        </is>
      </c>
      <c r="E34" s="6" t="inlineStr">
        <is>
          <t>요구사항</t>
        </is>
      </c>
      <c r="F34" s="6" t="inlineStr">
        <is>
          <t>발송</t>
        </is>
      </c>
      <c r="G34" s="6" t="inlineStr">
        <is>
          <t>API</t>
        </is>
      </c>
      <c r="H34" s="6" t="inlineStr">
        <is>
          <t>P2</t>
        </is>
      </c>
      <c r="I34" s="12" t="inlineStr">
        <is>
          <t>U1</t>
        </is>
      </c>
      <c r="J34" s="12" t="inlineStr">
        <is>
          <t>1. customAggregationUnits=['promo_A'] (유효)
2. ['promo-A'] (하이픈)
3. ['a'*30] / ['a'*31]
4. ['u1','u2'] (2개)
5. [] (빈 배열)</t>
        </is>
      </c>
      <c r="K34" s="12" t="inlineStr">
        <is>
          <t>유닛명 변형</t>
        </is>
      </c>
      <c r="L34" s="12" t="inlineStr">
        <is>
          <t>1. 200; 3의 30자는 200
2, 3의 31자. 400 'The request body has 1 error(s)', details.property가 customAggregationUnits를 가리킨다
4~5. 현재 동작 기록(Q12)</t>
        </is>
      </c>
      <c r="M34" s="6" t="inlineStr">
        <is>
          <t>Q12</t>
        </is>
      </c>
      <c r="N34" s="13" t="n"/>
      <c r="O34" s="14" t="n"/>
      <c r="P34" s="13" t="n"/>
      <c r="Q34" s="13" t="n"/>
      <c r="R34" s="13" t="n"/>
      <c r="S34" s="13" t="n"/>
      <c r="T34" s="12" t="n"/>
    </row>
    <row r="35" ht="64" customHeight="1">
      <c r="A35" s="6" t="inlineStr">
        <is>
          <t>TC-PSH-009</t>
        </is>
      </c>
      <c r="B35" s="6" t="inlineStr">
        <is>
          <t>푸시 메시지</t>
        </is>
      </c>
      <c r="C35" s="6" t="inlineStr">
        <is>
          <t>to 필드 검증</t>
        </is>
      </c>
      <c r="D35" s="6" t="inlineStr">
        <is>
          <t>REQ-07, REQ-05</t>
        </is>
      </c>
      <c r="E35" s="6" t="inlineStr">
        <is>
          <t>요구사항</t>
        </is>
      </c>
      <c r="F35" s="6" t="inlineStr">
        <is>
          <t>무발송</t>
        </is>
      </c>
      <c r="G35" s="6" t="inlineStr">
        <is>
          <t>API</t>
        </is>
      </c>
      <c r="H35" s="6" t="inlineStr">
        <is>
          <t>P2</t>
        </is>
      </c>
      <c r="I35" s="12" t="inlineStr">
        <is>
          <t>T1</t>
        </is>
      </c>
      <c r="J35" s="12" t="inlineStr">
        <is>
          <t>1. to 누락
2. to='' 
3. to='user123'(형식 불일치)
4. to=['U…'] (배열)</t>
        </is>
      </c>
      <c r="K35" s="12" t="inlineStr">
        <is>
          <t>to 변형 4종</t>
        </is>
      </c>
      <c r="L35" s="12" t="inlineStr">
        <is>
          <t>1~4. 400이며 details[].property='to'. 미도달. 500이 나오면 결함</t>
        </is>
      </c>
      <c r="M35" s="6" t="inlineStr"/>
      <c r="N35" s="13" t="n"/>
      <c r="O35" s="14" t="n"/>
      <c r="P35" s="13" t="n"/>
      <c r="Q35" s="13" t="n"/>
      <c r="R35" s="13" t="n"/>
      <c r="S35" s="13" t="n"/>
      <c r="T35" s="12" t="n"/>
    </row>
    <row r="36" ht="64" customHeight="1">
      <c r="A36" s="6" t="inlineStr">
        <is>
          <t>TC-MLT-001</t>
        </is>
      </c>
      <c r="B36" s="6" t="inlineStr">
        <is>
          <t>다중 발송</t>
        </is>
      </c>
      <c r="C36" s="6" t="inlineStr">
        <is>
          <t>multicast 정상</t>
        </is>
      </c>
      <c r="D36" s="6" t="inlineStr">
        <is>
          <t>REQ-08</t>
        </is>
      </c>
      <c r="E36" s="6" t="inlineStr">
        <is>
          <t>요구사항</t>
        </is>
      </c>
      <c r="F36" s="6" t="inlineStr">
        <is>
          <t>발송</t>
        </is>
      </c>
      <c r="G36" s="6" t="inlineStr">
        <is>
          <t>UI</t>
        </is>
      </c>
      <c r="H36" s="6" t="inlineStr">
        <is>
          <t>P1</t>
        </is>
      </c>
      <c r="I36" s="12" t="inlineStr">
        <is>
          <t>U1·U2(차단 해제 상태) 모두 친구</t>
        </is>
      </c>
      <c r="J36" s="12" t="inlineStr">
        <is>
          <t>1. POST /v2/bot/message/multicast {to:[U1,U2], messages:[text]} + 리트라이 키
2. 두 사용자 앱 확인</t>
        </is>
      </c>
      <c r="K36" s="12" t="inlineStr">
        <is>
          <t>U1, U2</t>
        </is>
      </c>
      <c r="L36" s="12" t="inlineStr">
        <is>
          <t>1. 200, 본문 '{}'
2. 두 명 모두 도달</t>
        </is>
      </c>
      <c r="M36" s="6" t="inlineStr"/>
      <c r="N36" s="13" t="n"/>
      <c r="O36" s="14" t="n"/>
      <c r="P36" s="13" t="n"/>
      <c r="Q36" s="13" t="n"/>
      <c r="R36" s="13" t="n"/>
      <c r="S36" s="13" t="n"/>
      <c r="T36" s="12" t="n"/>
    </row>
    <row r="37" ht="109" customHeight="1">
      <c r="A37" s="6" t="inlineStr">
        <is>
          <t>TC-MLT-002</t>
        </is>
      </c>
      <c r="B37" s="6" t="inlineStr">
        <is>
          <t>다중 발송</t>
        </is>
      </c>
      <c r="C37" s="6" t="inlineStr">
        <is>
          <t>multicast 수신자 수 경계</t>
        </is>
      </c>
      <c r="D37" s="6" t="inlineStr">
        <is>
          <t>REQ-08</t>
        </is>
      </c>
      <c r="E37" s="6" t="inlineStr">
        <is>
          <t>요구사항</t>
        </is>
      </c>
      <c r="F37" s="6" t="inlineStr">
        <is>
          <t>무발송</t>
        </is>
      </c>
      <c r="G37" s="6" t="inlineStr">
        <is>
          <t>API</t>
        </is>
      </c>
      <c r="H37" s="6" t="inlineStr">
        <is>
          <t>P1</t>
        </is>
      </c>
      <c r="I37" s="12" t="inlineStr">
        <is>
          <t>validate/multicast는 messages만 검증하므로 to 경계는 실제 엔드포인트로 검증. 유효 userId 1개(U1)</t>
        </is>
      </c>
      <c r="J37" s="12" t="inlineStr">
        <is>
          <t>1. to에 U1 1개 + 형식은 유효하나 존재하지 않는 ID 499개(총 500)로 multicast — 가이드라인상 무효 ID 요청 금지이므로 **사내 테스트 환경·모의 서버 MK1 전제**
2. 501개로 요청
3. 0개([])로 요청</t>
        </is>
      </c>
      <c r="K37" s="12" t="inlineStr">
        <is>
          <t>to 500 / 501 / 0 (MK1)</t>
        </is>
      </c>
      <c r="L37" s="12" t="inlineStr">
        <is>
          <t>1. 200
2. 400, details.property='to'
3. 400 또는 현재 동작 기록(Q03)
※ 실플랫폼에서는 500개 실사용자 확보 불가 → 모의 서버에서 계약 검증, 실플랫폼은 2명으로 스모크만</t>
        </is>
      </c>
      <c r="M37" s="6" t="inlineStr">
        <is>
          <t>Q03</t>
        </is>
      </c>
      <c r="N37" s="13" t="n"/>
      <c r="O37" s="14" t="n"/>
      <c r="P37" s="13" t="n"/>
      <c r="Q37" s="13" t="n"/>
      <c r="R37" s="13" t="n"/>
      <c r="S37" s="13" t="n"/>
      <c r="T37" s="12" t="n"/>
    </row>
    <row r="38" ht="64" customHeight="1">
      <c r="A38" s="6" t="inlineStr">
        <is>
          <t>TC-MLT-003</t>
        </is>
      </c>
      <c r="B38" s="6" t="inlineStr">
        <is>
          <t>다중 발송</t>
        </is>
      </c>
      <c r="C38" s="6" t="inlineStr">
        <is>
          <t>multicast 중복·그룹 ID</t>
        </is>
      </c>
      <c r="D38" s="6" t="inlineStr">
        <is>
          <t>REQ-08</t>
        </is>
      </c>
      <c r="E38" s="6" t="inlineStr">
        <is>
          <t>요구사항</t>
        </is>
      </c>
      <c r="F38" s="6" t="inlineStr">
        <is>
          <t>발송</t>
        </is>
      </c>
      <c r="G38" s="6" t="inlineStr">
        <is>
          <t>UI</t>
        </is>
      </c>
      <c r="H38" s="6" t="inlineStr">
        <is>
          <t>P2</t>
        </is>
      </c>
      <c r="I38" s="12" t="inlineStr">
        <is>
          <t>U1, G1 groupId</t>
        </is>
      </c>
      <c r="J38" s="12" t="inlineStr">
        <is>
          <t>1. to=[U1, U1] (중복)
2. to=[G1 groupId]
3. to=[U1, {CH2 userId}] (혼합) — 1회만</t>
        </is>
      </c>
      <c r="K38" s="12" t="inlineStr">
        <is>
          <t>중복 / 그룹 / 혼합</t>
        </is>
      </c>
      <c r="L38" s="12" t="inlineStr">
        <is>
          <t>2. 400(그룹·룸 불가)
1, 3. 현재 동작 기록(Q03): 중복 시 도달 건수(1건인지 2건인지), 혼합 시 400인지 U1만 도달인지</t>
        </is>
      </c>
      <c r="M38" s="6" t="inlineStr">
        <is>
          <t>Q03</t>
        </is>
      </c>
      <c r="N38" s="13" t="n"/>
      <c r="O38" s="14" t="n"/>
      <c r="P38" s="13" t="n"/>
      <c r="Q38" s="13" t="n"/>
      <c r="R38" s="13" t="n"/>
      <c r="S38" s="13" t="n"/>
      <c r="T38" s="12" t="n"/>
    </row>
    <row r="39" ht="64" customHeight="1">
      <c r="A39" s="6" t="inlineStr">
        <is>
          <t>TC-MLT-004</t>
        </is>
      </c>
      <c r="B39" s="6" t="inlineStr">
        <is>
          <t>다중 발송</t>
        </is>
      </c>
      <c r="C39" s="6" t="inlineStr">
        <is>
          <t>multicast 전체 실패 원자성</t>
        </is>
      </c>
      <c r="D39" s="6" t="inlineStr">
        <is>
          <t>REQ-08</t>
        </is>
      </c>
      <c r="E39" s="6" t="inlineStr">
        <is>
          <t>요구사항</t>
        </is>
      </c>
      <c r="F39" s="6" t="inlineStr">
        <is>
          <t>발송</t>
        </is>
      </c>
      <c r="G39" s="6" t="inlineStr">
        <is>
          <t>UI</t>
        </is>
      </c>
      <c r="H39" s="6" t="inlineStr">
        <is>
          <t>P1</t>
        </is>
      </c>
      <c r="I39" s="12" t="inlineStr">
        <is>
          <t>U1, U2 친구</t>
        </is>
      </c>
      <c r="J39" s="12" t="inlineStr">
        <is>
          <t>1. to=[U1,U2], messages=[유효 text, {type:'text', text:''}]로 multicast
2. 두 사용자 앱 확인</t>
        </is>
      </c>
      <c r="K39" s="12" t="inlineStr">
        <is>
          <t>유효+무효 메시지 혼합</t>
        </is>
      </c>
      <c r="L39" s="12" t="inlineStr">
        <is>
          <t>1. 400
2. 누구에게도 어떤 메시지도 도달하지 않는다(문서: 오류 시 아무에게도 발송 안 됨)</t>
        </is>
      </c>
      <c r="M39" s="6" t="inlineStr"/>
      <c r="N39" s="13" t="n"/>
      <c r="O39" s="14" t="n"/>
      <c r="P39" s="13" t="n"/>
      <c r="Q39" s="13" t="n"/>
      <c r="R39" s="13" t="n"/>
      <c r="S39" s="13" t="n"/>
      <c r="T39" s="12" t="n"/>
    </row>
    <row r="40" ht="94" customHeight="1">
      <c r="A40" s="6" t="inlineStr">
        <is>
          <t>TC-MLT-005</t>
        </is>
      </c>
      <c r="B40" s="6" t="inlineStr">
        <is>
          <t>다중 발송</t>
        </is>
      </c>
      <c r="C40" s="6" t="inlineStr">
        <is>
          <t>broadcast 정상</t>
        </is>
      </c>
      <c r="D40" s="6" t="inlineStr">
        <is>
          <t>REQ-09</t>
        </is>
      </c>
      <c r="E40" s="6" t="inlineStr">
        <is>
          <t>요구사항</t>
        </is>
      </c>
      <c r="F40" s="6" t="inlineStr">
        <is>
          <t>발송</t>
        </is>
      </c>
      <c r="G40" s="6" t="inlineStr">
        <is>
          <t>UI</t>
        </is>
      </c>
      <c r="H40" s="6" t="inlineStr">
        <is>
          <t>P2</t>
        </is>
      </c>
      <c r="I40" s="12" t="inlineStr">
        <is>
          <t>CH1 친구가 테스트 계정(U1·U2·U3)뿐임을 확인</t>
        </is>
      </c>
      <c r="J40" s="12" t="inlineStr">
        <is>
          <t>1. POST /v2/bot/message/broadcast {messages:[text]} + 리트라이 키
2. 친구 전원 앱 확인
3. GET /v2/bot/message/quota/consumption 전후 비교</t>
        </is>
      </c>
      <c r="K40" s="12" t="inlineStr">
        <is>
          <t>텍스트 1건</t>
        </is>
      </c>
      <c r="L40" s="12" t="inlineStr">
        <is>
          <t>1. 200, '{}'
2. 친구 전원 도달(차단 중인 사용자는 미도달)
3. totalUsage가 도달 대상 수만큼 증가(근사치)</t>
        </is>
      </c>
      <c r="M40" s="6" t="inlineStr"/>
      <c r="N40" s="13" t="n"/>
      <c r="O40" s="14" t="n"/>
      <c r="P40" s="13" t="n"/>
      <c r="Q40" s="13" t="n"/>
      <c r="R40" s="13" t="n"/>
      <c r="S40" s="13" t="n"/>
      <c r="T40" s="12" t="n"/>
    </row>
    <row r="41" ht="79" customHeight="1">
      <c r="A41" s="6" t="inlineStr">
        <is>
          <t>TC-MLT-006</t>
        </is>
      </c>
      <c r="B41" s="6" t="inlineStr">
        <is>
          <t>다중 발송</t>
        </is>
      </c>
      <c r="C41" s="6" t="inlineStr">
        <is>
          <t>broadcast 시간당 한도</t>
        </is>
      </c>
      <c r="D41" s="6" t="inlineStr">
        <is>
          <t>REQ-09, REQ-18</t>
        </is>
      </c>
      <c r="E41" s="6" t="inlineStr">
        <is>
          <t>요구사항</t>
        </is>
      </c>
      <c r="F41" s="6" t="inlineStr">
        <is>
          <t>장기·한도</t>
        </is>
      </c>
      <c r="G41" s="6" t="inlineStr">
        <is>
          <t>API</t>
        </is>
      </c>
      <c r="H41" s="6" t="inlineStr">
        <is>
          <t>P3</t>
        </is>
      </c>
      <c r="I41" s="12" t="inlineStr">
        <is>
          <t>가이드라인상 실플랫폼에 한도 초과 요청 금지 → 모의 서버 MK1이 61번째 요청에 429를 반환하도록 설정</t>
        </is>
      </c>
      <c r="J41" s="12" t="inlineStr">
        <is>
          <t>1. 클라이언트가 broadcast를 61회 호출(MK1)
2. 61번째 응답과 클라이언트의 백오프 동작 확인</t>
        </is>
      </c>
      <c r="K41" s="12" t="inlineStr">
        <is>
          <t>MK1 429 시나리오</t>
        </is>
      </c>
      <c r="L41" s="12" t="inlineStr">
        <is>
          <t>1. 61번째는 429, message='The API rate limit has been exceeded. Try again later.'
2. 클라이언트가 재시도 대신 큐에 보류하고 알림을 남긴다(4xx 재시도 금지)</t>
        </is>
      </c>
      <c r="M41" s="6" t="inlineStr"/>
      <c r="N41" s="13" t="n"/>
      <c r="O41" s="14" t="n"/>
      <c r="P41" s="13" t="n"/>
      <c r="Q41" s="13" t="n"/>
      <c r="R41" s="13" t="n"/>
      <c r="S41" s="13" t="n"/>
      <c r="T41" s="12" t="n"/>
    </row>
    <row r="42" ht="154" customHeight="1">
      <c r="A42" s="6" t="inlineStr">
        <is>
          <t>TC-MLT-007</t>
        </is>
      </c>
      <c r="B42" s="6" t="inlineStr">
        <is>
          <t>다중 발송</t>
        </is>
      </c>
      <c r="C42" s="6" t="inlineStr">
        <is>
          <t>narrowcast 비동기 수락</t>
        </is>
      </c>
      <c r="D42" s="6" t="inlineStr">
        <is>
          <t>REQ-10</t>
        </is>
      </c>
      <c r="E42" s="6" t="inlineStr">
        <is>
          <t>요구사항</t>
        </is>
      </c>
      <c r="F42" s="6" t="inlineStr">
        <is>
          <t>발송</t>
        </is>
      </c>
      <c r="G42" s="6" t="inlineStr">
        <is>
          <t>API</t>
        </is>
      </c>
      <c r="H42" s="6" t="inlineStr">
        <is>
          <t>P2</t>
        </is>
      </c>
      <c r="I42" s="12" t="inlineStr">
        <is>
          <t>CH1에 업로드 오디언스 A1(U1·U2 userId, 업로드 오디언스는 50명 제한 예외) 생성 완료</t>
        </is>
      </c>
      <c r="J42" s="12" t="inlineStr">
        <is>
          <t>1. POST /v2/bot/message/narrowcast {messages:[text], recipient:{type:'audience', audienceGroupId:A1}} + 리트라이 키
2. 응답 상태와 X-Line-Request-Id 기록
3. GET /v2/bot/message/progress/narrowcast?requestId={ID}를 5초 간격으로 조회</t>
        </is>
      </c>
      <c r="K42" s="12" t="inlineStr">
        <is>
          <t>오디언스 A1</t>
        </is>
      </c>
      <c r="L42" s="12" t="inlineStr">
        <is>
          <t>1. 202, 본문 '{}'
3. phase가 waiting → sending → succeeded로 전이하고 successCount·failureCount·targetCount·acceptedTime·completedTime이 채워진다(상태 전이표 3.6)</t>
        </is>
      </c>
      <c r="M42" s="6" t="inlineStr"/>
      <c r="N42" s="13" t="n"/>
      <c r="O42" s="14" t="n"/>
      <c r="P42" s="13" t="n"/>
      <c r="Q42" s="13" t="n"/>
      <c r="R42" s="13" t="n"/>
      <c r="S42" s="13" t="n"/>
      <c r="T42" s="12" t="n"/>
    </row>
    <row r="43" ht="79" customHeight="1">
      <c r="A43" s="6" t="inlineStr">
        <is>
          <t>TC-MLT-008</t>
        </is>
      </c>
      <c r="B43" s="6" t="inlineStr">
        <is>
          <t>다중 발송</t>
        </is>
      </c>
      <c r="C43" s="6" t="inlineStr">
        <is>
          <t>narrowcast 수신자 부족</t>
        </is>
      </c>
      <c r="D43" s="6" t="inlineStr">
        <is>
          <t>REQ-10</t>
        </is>
      </c>
      <c r="E43" s="6" t="inlineStr">
        <is>
          <t>요구사항</t>
        </is>
      </c>
      <c r="F43" s="6" t="inlineStr">
        <is>
          <t>발송</t>
        </is>
      </c>
      <c r="G43" s="6" t="inlineStr">
        <is>
          <t>API</t>
        </is>
      </c>
      <c r="H43" s="6" t="inlineStr">
        <is>
          <t>P2</t>
        </is>
      </c>
      <c r="I43" s="12" t="inlineStr">
        <is>
          <t>CH1 타깃 리치 &lt; 100</t>
        </is>
      </c>
      <c r="J43" s="12" t="inlineStr">
        <is>
          <t>1. recipient 없이 filter:{demographic:{type:'gender', oneOf:['male']}}로 narrowcast
2. 응답 기록</t>
        </is>
      </c>
      <c r="K43" s="12" t="inlineStr">
        <is>
          <t>속성 필터</t>
        </is>
      </c>
      <c r="L43" s="12" t="inlineStr">
        <is>
          <t>1. 403(타깃 리치 100명 미만)
2. 메시지 미발송</t>
        </is>
      </c>
      <c r="M43" s="6" t="inlineStr"/>
      <c r="N43" s="13" t="n"/>
      <c r="O43" s="14" t="n"/>
      <c r="P43" s="13" t="n"/>
      <c r="Q43" s="13" t="n"/>
      <c r="R43" s="13" t="n"/>
      <c r="S43" s="13" t="n"/>
      <c r="T43" s="12" t="n"/>
    </row>
    <row r="44" ht="109" customHeight="1">
      <c r="A44" s="6" t="inlineStr">
        <is>
          <t>TC-MLT-009</t>
        </is>
      </c>
      <c r="B44" s="6" t="inlineStr">
        <is>
          <t>다중 발송</t>
        </is>
      </c>
      <c r="C44" s="6" t="inlineStr">
        <is>
          <t>narrowcast 상태 조회 오류</t>
        </is>
      </c>
      <c r="D44" s="6" t="inlineStr">
        <is>
          <t>REQ-10</t>
        </is>
      </c>
      <c r="E44" s="6" t="inlineStr">
        <is>
          <t>요구사항</t>
        </is>
      </c>
      <c r="F44" s="6" t="inlineStr">
        <is>
          <t>무발송</t>
        </is>
      </c>
      <c r="G44" s="6" t="inlineStr">
        <is>
          <t>수동</t>
        </is>
      </c>
      <c r="H44" s="6" t="inlineStr">
        <is>
          <t>P3</t>
        </is>
      </c>
      <c r="I44" s="12" t="inlineStr">
        <is>
          <t>TC-MLT-007의 requestId, push 요청의 requestId 확보</t>
        </is>
      </c>
      <c r="J44" s="12" t="inlineStr">
        <is>
          <t>1. requestId='invalid'로 progress 조회
2. push 요청의 X-Line-Request-Id로 조회
3. (장기) acceptedTime + 14일 1시간 후 TC-MLT-007 requestId로 조회</t>
        </is>
      </c>
      <c r="K44" s="12" t="inlineStr">
        <is>
          <t>requestId 3종</t>
        </is>
      </c>
      <c r="L44" s="12" t="inlineStr">
        <is>
          <t>1. 400
2. 404(내로우캐스트가 아닌 요청)
3. 404(14일 경과) — 장기 항목으로 별도 기록</t>
        </is>
      </c>
      <c r="M44" s="6" t="inlineStr"/>
      <c r="N44" s="13" t="n"/>
      <c r="O44" s="14" t="n"/>
      <c r="P44" s="13" t="n"/>
      <c r="Q44" s="13" t="n"/>
      <c r="R44" s="13" t="n"/>
      <c r="S44" s="13" t="n"/>
      <c r="T44" s="12" t="n"/>
    </row>
    <row r="45" ht="124" customHeight="1">
      <c r="A45" s="6" t="inlineStr">
        <is>
          <t>TC-MLT-010</t>
        </is>
      </c>
      <c r="B45" s="6" t="inlineStr">
        <is>
          <t>다중 발송</t>
        </is>
      </c>
      <c r="C45" s="6" t="inlineStr">
        <is>
          <t>narrowcast limit 객체</t>
        </is>
      </c>
      <c r="D45" s="6" t="inlineStr">
        <is>
          <t>REQ-10</t>
        </is>
      </c>
      <c r="E45" s="6" t="inlineStr">
        <is>
          <t>요구사항</t>
        </is>
      </c>
      <c r="F45" s="6" t="inlineStr">
        <is>
          <t>무발송</t>
        </is>
      </c>
      <c r="G45" s="6" t="inlineStr">
        <is>
          <t>API</t>
        </is>
      </c>
      <c r="H45" s="6" t="inlineStr">
        <is>
          <t>P3</t>
        </is>
      </c>
      <c r="I45" s="12" t="inlineStr">
        <is>
          <t>validate/narrowcast는 messages만 검증 → 모의 서버 MK1 또는 사내 환경 전제</t>
        </is>
      </c>
      <c r="J45" s="12" t="inlineStr">
        <is>
          <t>1. limit:{max:1, upToRemainingQuota:true}로 narrowcast(MK1)
2. limit:{max:0}
3. limit:{forbidPartialDelivery:true, upToRemainingQuota:true}, 월 잔여 &lt; 타깃 시나리오(MK1)</t>
        </is>
      </c>
      <c r="K45" s="12" t="inlineStr">
        <is>
          <t>limit 변형 (MK1)</t>
        </is>
      </c>
      <c r="L45" s="12" t="inlineStr">
        <is>
          <t>1. 202 후 targetCount=1
2. 400
3. 202 후 phase=failed, errorCode=5(부분 발송 금지로 취소)</t>
        </is>
      </c>
      <c r="M45" s="6" t="inlineStr"/>
      <c r="N45" s="13" t="n"/>
      <c r="O45" s="14" t="n"/>
      <c r="P45" s="13" t="n"/>
      <c r="Q45" s="13" t="n"/>
      <c r="R45" s="13" t="n"/>
      <c r="S45" s="13" t="n"/>
      <c r="T45" s="12" t="n"/>
    </row>
    <row r="46" ht="124" customHeight="1">
      <c r="A46" s="6" t="inlineStr">
        <is>
          <t>TC-IDM-001</t>
        </is>
      </c>
      <c r="B46" s="6" t="inlineStr">
        <is>
          <t>멱등성·재시도</t>
        </is>
      </c>
      <c r="C46" s="6" t="inlineStr">
        <is>
          <t>동일 키 재요청(push)</t>
        </is>
      </c>
      <c r="D46" s="6" t="inlineStr">
        <is>
          <t>REQ-11, REQ-05</t>
        </is>
      </c>
      <c r="E46" s="6" t="inlineStr">
        <is>
          <t>요구사항</t>
        </is>
      </c>
      <c r="F46" s="6" t="inlineStr">
        <is>
          <t>발송</t>
        </is>
      </c>
      <c r="G46" s="6" t="inlineStr">
        <is>
          <t>UI</t>
        </is>
      </c>
      <c r="H46" s="6" t="inlineStr">
        <is>
          <t>P1</t>
        </is>
      </c>
      <c r="I46" s="12" t="inlineStr">
        <is>
          <t>U1, 새 UUID RK1</t>
        </is>
      </c>
      <c r="J46" s="12" t="inlineStr">
        <is>
          <t>1. push(to=U1, text 'idem-1') + X-Line-Retry-Key: RK1 → 응답 A 저장(X-Line-Request-Id, sentMessages)
2. 같은 본문·같은 키로 즉시 재요청 → 응답 B
3. 1분 후 세 번째 요청 → 응답 C
4. U1 앱에서 도달 건수 확인</t>
        </is>
      </c>
      <c r="K46" s="12" t="inlineStr">
        <is>
          <t>RK1, 'idem-1'</t>
        </is>
      </c>
      <c r="L46" s="12" t="inlineStr">
        <is>
          <t>1. 200
2~3. 409, message='The retry key is already accepted', X-Line-Accepted-Request-Id = A의 X-Line-Request-Id, X-Line-Request-Id는 매번 다름, sentMessages.id가 A와 동일
4. 메시지는 정확히 1건만 도달</t>
        </is>
      </c>
      <c r="M46" s="6" t="inlineStr"/>
      <c r="N46" s="13" t="n"/>
      <c r="O46" s="14" t="n"/>
      <c r="P46" s="13" t="n"/>
      <c r="Q46" s="13" t="n"/>
      <c r="R46" s="13" t="n"/>
      <c r="S46" s="13" t="n"/>
      <c r="T46" s="12" t="n"/>
    </row>
    <row r="47" ht="79" customHeight="1">
      <c r="A47" s="6" t="inlineStr">
        <is>
          <t>TC-IDM-002</t>
        </is>
      </c>
      <c r="B47" s="6" t="inlineStr">
        <is>
          <t>멱등성·재시도</t>
        </is>
      </c>
      <c r="C47" s="6" t="inlineStr">
        <is>
          <t>동일 키(multicast·broadcast)</t>
        </is>
      </c>
      <c r="D47" s="6" t="inlineStr">
        <is>
          <t>REQ-11</t>
        </is>
      </c>
      <c r="E47" s="6" t="inlineStr">
        <is>
          <t>요구사항</t>
        </is>
      </c>
      <c r="F47" s="6" t="inlineStr">
        <is>
          <t>발송</t>
        </is>
      </c>
      <c r="G47" s="6" t="inlineStr">
        <is>
          <t>UI</t>
        </is>
      </c>
      <c r="H47" s="6" t="inlineStr">
        <is>
          <t>P1</t>
        </is>
      </c>
      <c r="I47" s="12" t="inlineStr">
        <is>
          <t>U1·U2, 새 UUID RK2·RK3</t>
        </is>
      </c>
      <c r="J47" s="12" t="inlineStr">
        <is>
          <t>1. multicast + RK2 → 200, 같은 키로 재요청
2. broadcast + RK3 → 200, 같은 키로 재요청
3. 도달 건수 확인</t>
        </is>
      </c>
      <c r="K47" s="12" t="inlineStr">
        <is>
          <t>RK2, RK3</t>
        </is>
      </c>
      <c r="L47" s="12" t="inlineStr">
        <is>
          <t>1~2. 재요청은 409 + X-Line-Accepted-Request-Id, 본문에 sentMessages 없음(push 외)
3. 각 1건만 도달</t>
        </is>
      </c>
      <c r="M47" s="6" t="inlineStr"/>
      <c r="N47" s="13" t="n"/>
      <c r="O47" s="14" t="n"/>
      <c r="P47" s="13" t="n"/>
      <c r="Q47" s="13" t="n"/>
      <c r="R47" s="13" t="n"/>
      <c r="S47" s="13" t="n"/>
      <c r="T47" s="12" t="n"/>
    </row>
    <row r="48" ht="49" customHeight="1">
      <c r="A48" s="6" t="inlineStr">
        <is>
          <t>TC-IDM-003</t>
        </is>
      </c>
      <c r="B48" s="6" t="inlineStr">
        <is>
          <t>멱등성·재시도</t>
        </is>
      </c>
      <c r="C48" s="6" t="inlineStr">
        <is>
          <t>키 변경 시 신규 처리</t>
        </is>
      </c>
      <c r="D48" s="6" t="inlineStr">
        <is>
          <t>REQ-11</t>
        </is>
      </c>
      <c r="E48" s="6" t="inlineStr">
        <is>
          <t>요구사항</t>
        </is>
      </c>
      <c r="F48" s="6" t="inlineStr">
        <is>
          <t>발송</t>
        </is>
      </c>
      <c r="G48" s="6" t="inlineStr">
        <is>
          <t>UI</t>
        </is>
      </c>
      <c r="H48" s="6" t="inlineStr">
        <is>
          <t>P2</t>
        </is>
      </c>
      <c r="I48" s="12" t="inlineStr">
        <is>
          <t>U1</t>
        </is>
      </c>
      <c r="J48" s="12" t="inlineStr">
        <is>
          <t>1. 같은 본문을 서로 다른 UUID 2개로 push
2. 도달 건수 확인</t>
        </is>
      </c>
      <c r="K48" s="12" t="inlineStr">
        <is>
          <t>RK4, RK5</t>
        </is>
      </c>
      <c r="L48" s="12" t="inlineStr">
        <is>
          <t>1. 둘 다 200
2. 2건 도달(키가 다르면 별개 요청)</t>
        </is>
      </c>
      <c r="M48" s="6" t="inlineStr"/>
      <c r="N48" s="13" t="n"/>
      <c r="O48" s="14" t="n"/>
      <c r="P48" s="13" t="n"/>
      <c r="Q48" s="13" t="n"/>
      <c r="R48" s="13" t="n"/>
      <c r="S48" s="13" t="n"/>
      <c r="T48" s="12" t="n"/>
    </row>
    <row r="49" ht="94" customHeight="1">
      <c r="A49" s="6" t="inlineStr">
        <is>
          <t>TC-IDM-004</t>
        </is>
      </c>
      <c r="B49" s="6" t="inlineStr">
        <is>
          <t>멱등성·재시도</t>
        </is>
      </c>
      <c r="C49" s="6" t="inlineStr">
        <is>
          <t>같은 키·다른 본문</t>
        </is>
      </c>
      <c r="D49" s="6" t="inlineStr">
        <is>
          <t>REQ-11</t>
        </is>
      </c>
      <c r="E49" s="6" t="inlineStr">
        <is>
          <t>요구사항</t>
        </is>
      </c>
      <c r="F49" s="6" t="inlineStr">
        <is>
          <t>발송</t>
        </is>
      </c>
      <c r="G49" s="6" t="inlineStr">
        <is>
          <t>UI</t>
        </is>
      </c>
      <c r="H49" s="6" t="inlineStr">
        <is>
          <t>P2</t>
        </is>
      </c>
      <c r="I49" s="12" t="inlineStr">
        <is>
          <t>U1, 새 UUID RK6</t>
        </is>
      </c>
      <c r="J49" s="12" t="inlineStr">
        <is>
          <t>1. push(text 'A') + RK6 → 200
2. push(text 'B') + RK6
3. push(to=U2, text 'A') + RK6
4. 도달 메시지 기록</t>
        </is>
      </c>
      <c r="K49" s="12" t="inlineStr">
        <is>
          <t>RK6, 본문 변경</t>
        </is>
      </c>
      <c r="L49" s="12" t="inlineStr">
        <is>
          <t>2~3. 현재 동작 기록(Q02): 409인지, 신규 처리되어 'B'가 도달하는지. 설계 결론: 재시도 시 본문을 바꾸지 않는 클라이언트 규칙을 둔다</t>
        </is>
      </c>
      <c r="M49" s="6" t="inlineStr">
        <is>
          <t>Q02</t>
        </is>
      </c>
      <c r="N49" s="13" t="n"/>
      <c r="O49" s="14" t="n"/>
      <c r="P49" s="13" t="n"/>
      <c r="Q49" s="13" t="n"/>
      <c r="R49" s="13" t="n"/>
      <c r="S49" s="13" t="n"/>
      <c r="T49" s="12" t="n"/>
    </row>
    <row r="50" ht="79" customHeight="1">
      <c r="A50" s="6" t="inlineStr">
        <is>
          <t>TC-IDM-005</t>
        </is>
      </c>
      <c r="B50" s="6" t="inlineStr">
        <is>
          <t>멱등성·재시도</t>
        </is>
      </c>
      <c r="C50" s="6" t="inlineStr">
        <is>
          <t>키 24시간 만료</t>
        </is>
      </c>
      <c r="D50" s="6" t="inlineStr">
        <is>
          <t>REQ-11</t>
        </is>
      </c>
      <c r="E50" s="6" t="inlineStr">
        <is>
          <t>요구사항</t>
        </is>
      </c>
      <c r="F50" s="6" t="inlineStr">
        <is>
          <t>장기·한도</t>
        </is>
      </c>
      <c r="G50" s="6" t="inlineStr">
        <is>
          <t>수동</t>
        </is>
      </c>
      <c r="H50" s="6" t="inlineStr">
        <is>
          <t>P1</t>
        </is>
      </c>
      <c r="I50" s="12" t="inlineStr">
        <is>
          <t>U1, RK7로 push 성공(시각 기록)</t>
        </is>
      </c>
      <c r="J50" s="12" t="inlineStr">
        <is>
          <t>1. 23시간 50분 후 같은 키·본문으로 재요청
2. 24시간 10분 후 같은 키·본문으로 재요청
3. 도달 건수 확인</t>
        </is>
      </c>
      <c r="K50" s="12" t="inlineStr">
        <is>
          <t>RK7, 24h 타이머</t>
        </is>
      </c>
      <c r="L50" s="12" t="inlineStr">
        <is>
          <t>1. 409
2. 200(신규 요청으로 처리) — 메시지가 중복 도달한다
3. 총 2건 도달. 설계 결론: 클라이언트 재시도 창은 24시간보다 짧게(예: 1시간) 제한</t>
        </is>
      </c>
      <c r="M50" s="6" t="inlineStr"/>
      <c r="N50" s="13" t="n"/>
      <c r="O50" s="14" t="n"/>
      <c r="P50" s="13" t="n"/>
      <c r="Q50" s="13" t="n"/>
      <c r="R50" s="13" t="n"/>
      <c r="S50" s="13" t="n"/>
      <c r="T50" s="12" t="n"/>
    </row>
    <row r="51" ht="94" customHeight="1">
      <c r="A51" s="6" t="inlineStr">
        <is>
          <t>TC-IDM-006</t>
        </is>
      </c>
      <c r="B51" s="6" t="inlineStr">
        <is>
          <t>멱등성·재시도</t>
        </is>
      </c>
      <c r="C51" s="6" t="inlineStr">
        <is>
          <t>키 형식 변형</t>
        </is>
      </c>
      <c r="D51" s="6" t="inlineStr">
        <is>
          <t>REQ-11</t>
        </is>
      </c>
      <c r="E51" s="6" t="inlineStr">
        <is>
          <t>요구사항</t>
        </is>
      </c>
      <c r="F51" s="6" t="inlineStr">
        <is>
          <t>발송</t>
        </is>
      </c>
      <c r="G51" s="6" t="inlineStr">
        <is>
          <t>API</t>
        </is>
      </c>
      <c r="H51" s="6" t="inlineStr">
        <is>
          <t>P3</t>
        </is>
      </c>
      <c r="I51" s="12" t="inlineStr">
        <is>
          <t>U1</t>
        </is>
      </c>
      <c r="J51" s="12" t="inlineStr">
        <is>
          <t>1. X-Line-Retry-Key: 'abc'
2. 대문자 UUID
3. '{uuid}' (중괄호)
4. 빈 문자열
각 1회, 같은 키로 재요청 1회</t>
        </is>
      </c>
      <c r="K51" s="12" t="inlineStr">
        <is>
          <t>비표준 키 4종</t>
        </is>
      </c>
      <c r="L51" s="12" t="inlineStr">
        <is>
          <t>1~4. 현재 동작 기록(Q01): 400 거부인지, 수락 후 멱등 동작하는지. 자동화에서는 소문자 하이픈 UUID v4만 생성하도록 고정</t>
        </is>
      </c>
      <c r="M51" s="6" t="inlineStr">
        <is>
          <t>Q01</t>
        </is>
      </c>
      <c r="N51" s="13" t="n"/>
      <c r="O51" s="14" t="n"/>
      <c r="P51" s="13" t="n"/>
      <c r="Q51" s="13" t="n"/>
      <c r="R51" s="13" t="n"/>
      <c r="S51" s="13" t="n"/>
      <c r="T51" s="12" t="n"/>
    </row>
    <row r="52" ht="169" customHeight="1">
      <c r="A52" s="6" t="inlineStr">
        <is>
          <t>TC-IDM-007</t>
        </is>
      </c>
      <c r="B52" s="6" t="inlineStr">
        <is>
          <t>멱등성·재시도</t>
        </is>
      </c>
      <c r="C52" s="6" t="inlineStr">
        <is>
          <t>재시도 정책(상태 코드별)</t>
        </is>
      </c>
      <c r="D52" s="6" t="inlineStr">
        <is>
          <t>REQ-11</t>
        </is>
      </c>
      <c r="E52" s="6" t="inlineStr">
        <is>
          <t>리스크 기반</t>
        </is>
      </c>
      <c r="F52" s="6" t="inlineStr">
        <is>
          <t>무발송</t>
        </is>
      </c>
      <c r="G52" s="6" t="inlineStr">
        <is>
          <t>API</t>
        </is>
      </c>
      <c r="H52" s="6" t="inlineStr">
        <is>
          <t>P1</t>
        </is>
      </c>
      <c r="I52" s="12" t="inlineStr">
        <is>
          <t>모의 서버 MK1, 클라이언트 재시도 모듈(지수 백오프, 최대 3회)</t>
        </is>
      </c>
      <c r="J52" s="12" t="inlineStr">
        <is>
          <t>1. MK1이 500 → 500 → 200 순으로 응답하도록 설정 후 push 1회 호출
2. MK1이 타임아웃(무응답 10초) → 200 순으로 응답
3. MK1이 400 응답
4. MK1이 409 응답(accepted id 포함)
5. MK1이 429 응답
6. 각 시나리오에서 클라이언트의 요청 횟수·헤더·간격을 MK1 로그로 확인</t>
        </is>
      </c>
      <c r="K52" s="12" t="inlineStr">
        <is>
          <t>MK1 시나리오 5종</t>
        </is>
      </c>
      <c r="L52" s="12" t="inlineStr">
        <is>
          <t>1. 총 3회 요청, 모두 같은 X-Line-Retry-Key, 간격이 지수 증가(예: 1s→2s), 최종 성공
2. 2회 요청 후 성공
3~5. 재시도 없이 1회로 종료하고 409는 성공으로, 400·429는 실패로 분류해 로그에 사유 기록</t>
        </is>
      </c>
      <c r="M52" s="6" t="inlineStr"/>
      <c r="N52" s="13" t="n"/>
      <c r="O52" s="14" t="n"/>
      <c r="P52" s="13" t="n"/>
      <c r="Q52" s="13" t="n"/>
      <c r="R52" s="13" t="n"/>
      <c r="S52" s="13" t="n"/>
      <c r="T52" s="12" t="n"/>
    </row>
    <row r="53" ht="94" customHeight="1">
      <c r="A53" s="6" t="inlineStr">
        <is>
          <t>TC-IDM-008</t>
        </is>
      </c>
      <c r="B53" s="6" t="inlineStr">
        <is>
          <t>멱등성·재시도</t>
        </is>
      </c>
      <c r="C53" s="6" t="inlineStr">
        <is>
          <t>첫 요청에 키 누락</t>
        </is>
      </c>
      <c r="D53" s="6" t="inlineStr">
        <is>
          <t>REQ-11</t>
        </is>
      </c>
      <c r="E53" s="6" t="inlineStr">
        <is>
          <t>리스크 기반</t>
        </is>
      </c>
      <c r="F53" s="6" t="inlineStr">
        <is>
          <t>무발송</t>
        </is>
      </c>
      <c r="G53" s="6" t="inlineStr">
        <is>
          <t>API</t>
        </is>
      </c>
      <c r="H53" s="6" t="inlineStr">
        <is>
          <t>P2</t>
        </is>
      </c>
      <c r="I53" s="12" t="inlineStr">
        <is>
          <t>클라이언트 발송 모듈 코드 리뷰 + MK1</t>
        </is>
      </c>
      <c r="J53" s="12" t="inlineStr">
        <is>
          <t>1. 클라이언트가 push/multicast/narrowcast/broadcast를 호출할 때 X-Line-Retry-Key를 항상 포함하는지 MK1 수신 로그로 확인
2. reply·validate 호출에는 키가 없는지 확인</t>
        </is>
      </c>
      <c r="K53" s="12" t="inlineStr">
        <is>
          <t>4개 발송 API 호출 + reply</t>
        </is>
      </c>
      <c r="L53" s="12" t="inlineStr">
        <is>
          <t>1. 발송 4종 모두 첫 요청부터 키 포함(키 없는 첫 요청은 재시도 불가)
2. reply·validate에는 키 미포함(포함 시 400)</t>
        </is>
      </c>
      <c r="M53" s="6" t="inlineStr"/>
      <c r="N53" s="13" t="n"/>
      <c r="O53" s="14" t="n"/>
      <c r="P53" s="13" t="n"/>
      <c r="Q53" s="13" t="n"/>
      <c r="R53" s="13" t="n"/>
      <c r="S53" s="13" t="n"/>
      <c r="T53" s="12" t="n"/>
    </row>
    <row r="54" ht="94" customHeight="1">
      <c r="A54" s="6" t="inlineStr">
        <is>
          <t>TC-MSG-001</t>
        </is>
      </c>
      <c r="B54" s="6" t="inlineStr">
        <is>
          <t>메시지 객체 검증</t>
        </is>
      </c>
      <c r="C54" s="6" t="inlineStr">
        <is>
          <t>text 길이 경계</t>
        </is>
      </c>
      <c r="D54" s="6" t="inlineStr">
        <is>
          <t>REQ-12</t>
        </is>
      </c>
      <c r="E54" s="6" t="inlineStr">
        <is>
          <t>요구사항</t>
        </is>
      </c>
      <c r="F54" s="6" t="inlineStr">
        <is>
          <t>무발송</t>
        </is>
      </c>
      <c r="G54" s="6" t="inlineStr">
        <is>
          <t>API</t>
        </is>
      </c>
      <c r="H54" s="6" t="inlineStr">
        <is>
          <t>P1</t>
        </is>
      </c>
      <c r="I54" s="12" t="inlineStr">
        <is>
          <t>T1, ASCII 문자열 생성기</t>
        </is>
      </c>
      <c r="J54" s="12" t="inlineStr">
        <is>
          <t>1. validate/push에 text 길이 4999
2. 5000
3. 5001
4. 길이 1
5. 길이 0('')</t>
        </is>
      </c>
      <c r="K54" s="12" t="inlineStr">
        <is>
          <t>ASCII 4999/5000/5001/1/0자</t>
        </is>
      </c>
      <c r="L54" s="12" t="inlineStr">
        <is>
          <t>1~2, 4. 200
3. 400, details.property='messages[0].text'(Q11: message 문구 기록)
5. 400 'May not be empty'</t>
        </is>
      </c>
      <c r="M54" s="6" t="inlineStr">
        <is>
          <t>Q11</t>
        </is>
      </c>
      <c r="N54" s="13" t="n"/>
      <c r="O54" s="14" t="n"/>
      <c r="P54" s="13" t="n"/>
      <c r="Q54" s="13" t="n"/>
      <c r="R54" s="13" t="n"/>
      <c r="S54" s="13" t="n"/>
      <c r="T54" s="12" t="n"/>
    </row>
    <row r="55" ht="124" customHeight="1">
      <c r="A55" s="6" t="inlineStr">
        <is>
          <t>TC-MSG-002</t>
        </is>
      </c>
      <c r="B55" s="6" t="inlineStr">
        <is>
          <t>메시지 객체 검증</t>
        </is>
      </c>
      <c r="C55" s="6" t="inlineStr">
        <is>
          <t>UTF-16 단위 계산</t>
        </is>
      </c>
      <c r="D55" s="6" t="inlineStr">
        <is>
          <t>REQ-12</t>
        </is>
      </c>
      <c r="E55" s="6" t="inlineStr">
        <is>
          <t>리스크 기반</t>
        </is>
      </c>
      <c r="F55" s="6" t="inlineStr">
        <is>
          <t>무발송</t>
        </is>
      </c>
      <c r="G55" s="6" t="inlineStr">
        <is>
          <t>API</t>
        </is>
      </c>
      <c r="H55" s="6" t="inlineStr">
        <is>
          <t>P1</t>
        </is>
      </c>
      <c r="I55" s="12" t="inlineStr">
        <is>
          <t>T1</t>
        </is>
      </c>
      <c r="J55" s="12" t="inlineStr">
        <is>
          <t>1. '🍎'(서로게이트 쌍) 2500개 = 5000 코드 유닛으로 validate
2. '🍎' 2501개(5002 유닛)
3. ASCII 4999자 + '🍎' 1개(5001 유닛)
4. 한글 5000자(각 1 유닛)
5. 결합 이모지('👨‍👩‍👧', 8 유닛) 625개(5000 유닛)와 626개</t>
        </is>
      </c>
      <c r="K55" s="12" t="inlineStr">
        <is>
          <t>이모지·한글 조합</t>
        </is>
      </c>
      <c r="L55" s="12" t="inlineStr">
        <is>
          <t>1, 4, 5의 625개. 200
2, 3, 5의 626개. 400(글자 수가 아닌 UTF-16 코드 유닛으로 계산됨을 확인)</t>
        </is>
      </c>
      <c r="M55" s="6" t="inlineStr">
        <is>
          <t>Q11</t>
        </is>
      </c>
      <c r="N55" s="13" t="n"/>
      <c r="O55" s="14" t="n"/>
      <c r="P55" s="13" t="n"/>
      <c r="Q55" s="13" t="n"/>
      <c r="R55" s="13" t="n"/>
      <c r="S55" s="13" t="n"/>
      <c r="T55" s="12" t="n"/>
    </row>
    <row r="56" ht="139" customHeight="1">
      <c r="A56" s="6" t="inlineStr">
        <is>
          <t>TC-MSG-003</t>
        </is>
      </c>
      <c r="B56" s="6" t="inlineStr">
        <is>
          <t>메시지 객체 검증</t>
        </is>
      </c>
      <c r="C56" s="6" t="inlineStr">
        <is>
          <t>LINE 이모지</t>
        </is>
      </c>
      <c r="D56" s="6" t="inlineStr">
        <is>
          <t>REQ-12</t>
        </is>
      </c>
      <c r="E56" s="6" t="inlineStr">
        <is>
          <t>요구사항</t>
        </is>
      </c>
      <c r="F56" s="6" t="inlineStr">
        <is>
          <t>무발송</t>
        </is>
      </c>
      <c r="G56" s="6" t="inlineStr">
        <is>
          <t>API</t>
        </is>
      </c>
      <c r="H56" s="6" t="inlineStr">
        <is>
          <t>P2</t>
        </is>
      </c>
      <c r="I56" s="12" t="inlineStr">
        <is>
          <t>T1, 유효 productId/emojiId 1쌍</t>
        </is>
      </c>
      <c r="J56" s="12" t="inlineStr">
        <is>
          <t>1. text='$ hello', emojis=[{index:0, productId, emojiId}] validate
2. index:1(불일치)
3. emojis 20개(text에 $ 20개)
4. emojis 21개
5. text 4998자 + '$' 1개이며 대체 텍스트가 10자인 이모지</t>
        </is>
      </c>
      <c r="K56" s="12" t="inlineStr">
        <is>
          <t>LINE 이모지 변형</t>
        </is>
      </c>
      <c r="L56" s="12" t="inlineStr">
        <is>
          <t>1, 3. 200
2. 400(index가 $ 위치와 불일치)
4. 400(최대 20)
5. 현재 동작 기록(Q11: 대체 텍스트 치환 후 5000 초과 판정 여부)</t>
        </is>
      </c>
      <c r="M56" s="6" t="inlineStr">
        <is>
          <t>Q11</t>
        </is>
      </c>
      <c r="N56" s="13" t="n"/>
      <c r="O56" s="14" t="n"/>
      <c r="P56" s="13" t="n"/>
      <c r="Q56" s="13" t="n"/>
      <c r="R56" s="13" t="n"/>
      <c r="S56" s="13" t="n"/>
      <c r="T56" s="12" t="n"/>
    </row>
    <row r="57" ht="94" customHeight="1">
      <c r="A57" s="6" t="inlineStr">
        <is>
          <t>TC-MSG-004</t>
        </is>
      </c>
      <c r="B57" s="6" t="inlineStr">
        <is>
          <t>메시지 객체 검증</t>
        </is>
      </c>
      <c r="C57" s="6" t="inlineStr">
        <is>
          <t>messages 배열 경계</t>
        </is>
      </c>
      <c r="D57" s="6" t="inlineStr">
        <is>
          <t>REQ-12</t>
        </is>
      </c>
      <c r="E57" s="6" t="inlineStr">
        <is>
          <t>요구사항</t>
        </is>
      </c>
      <c r="F57" s="6" t="inlineStr">
        <is>
          <t>무발송</t>
        </is>
      </c>
      <c r="G57" s="6" t="inlineStr">
        <is>
          <t>API</t>
        </is>
      </c>
      <c r="H57" s="6" t="inlineStr">
        <is>
          <t>P1</t>
        </is>
      </c>
      <c r="I57" s="12" t="inlineStr">
        <is>
          <t>T1</t>
        </is>
      </c>
      <c r="J57" s="12" t="inlineStr">
        <is>
          <t xml:space="preserve">1. validate/push messages 5개
2. 6개
3. [] (빈 배열)
4. messages 누락
5. 5개 중 3번째만 text='' </t>
        </is>
      </c>
      <c r="K57" s="12" t="inlineStr">
        <is>
          <t>배열 변형</t>
        </is>
      </c>
      <c r="L57" s="12" t="inlineStr">
        <is>
          <t>1. 200
2~4. 400, message·property 기록(Q04)
5. 400, details[0].property='messages[2].text'(인덱스 정확성)</t>
        </is>
      </c>
      <c r="M57" s="6" t="inlineStr">
        <is>
          <t>Q04</t>
        </is>
      </c>
      <c r="N57" s="13" t="n"/>
      <c r="O57" s="14" t="n"/>
      <c r="P57" s="13" t="n"/>
      <c r="Q57" s="13" t="n"/>
      <c r="R57" s="13" t="n"/>
      <c r="S57" s="13" t="n"/>
      <c r="T57" s="12" t="n"/>
    </row>
    <row r="58" ht="94" customHeight="1">
      <c r="A58" s="6" t="inlineStr">
        <is>
          <t>TC-MSG-005</t>
        </is>
      </c>
      <c r="B58" s="6" t="inlineStr">
        <is>
          <t>메시지 객체 검증</t>
        </is>
      </c>
      <c r="C58" s="6" t="inlineStr">
        <is>
          <t>type 열거값</t>
        </is>
      </c>
      <c r="D58" s="6" t="inlineStr">
        <is>
          <t>REQ-12</t>
        </is>
      </c>
      <c r="E58" s="6" t="inlineStr">
        <is>
          <t>요구사항</t>
        </is>
      </c>
      <c r="F58" s="6" t="inlineStr">
        <is>
          <t>무발송</t>
        </is>
      </c>
      <c r="G58" s="6" t="inlineStr">
        <is>
          <t>API</t>
        </is>
      </c>
      <c r="H58" s="6" t="inlineStr">
        <is>
          <t>P1</t>
        </is>
      </c>
      <c r="I58" s="12" t="inlineStr">
        <is>
          <t>T1</t>
        </is>
      </c>
      <c r="J58" s="12" t="inlineStr">
        <is>
          <t>1. type='Text'(대소문자)
2. type='unknown'
3. type 누락
4. type=1(숫자)</t>
        </is>
      </c>
      <c r="K58" s="12" t="inlineStr">
        <is>
          <t>type 변형</t>
        </is>
      </c>
      <c r="L58" s="12" t="inlineStr">
        <is>
          <t>1~4. 400, details.property='messages[0].type', message에 허용 값 목록(text, image, video, audio, location, sticker, template, imagemap, flex)이 포함된다</t>
        </is>
      </c>
      <c r="M58" s="6" t="inlineStr"/>
      <c r="N58" s="13" t="n"/>
      <c r="O58" s="14" t="n"/>
      <c r="P58" s="13" t="n"/>
      <c r="Q58" s="13" t="n"/>
      <c r="R58" s="13" t="n"/>
      <c r="S58" s="13" t="n"/>
      <c r="T58" s="12" t="n"/>
    </row>
    <row r="59" ht="109" customHeight="1">
      <c r="A59" s="6" t="inlineStr">
        <is>
          <t>TC-MSG-006</t>
        </is>
      </c>
      <c r="B59" s="6" t="inlineStr">
        <is>
          <t>메시지 객체 검증</t>
        </is>
      </c>
      <c r="C59" s="6" t="inlineStr">
        <is>
          <t>quickReply 경계</t>
        </is>
      </c>
      <c r="D59" s="6" t="inlineStr">
        <is>
          <t>REQ-12</t>
        </is>
      </c>
      <c r="E59" s="6" t="inlineStr">
        <is>
          <t>요구사항</t>
        </is>
      </c>
      <c r="F59" s="6" t="inlineStr">
        <is>
          <t>무발송</t>
        </is>
      </c>
      <c r="G59" s="6" t="inlineStr">
        <is>
          <t>API</t>
        </is>
      </c>
      <c r="H59" s="6" t="inlineStr">
        <is>
          <t>P2</t>
        </is>
      </c>
      <c r="I59" s="12" t="inlineStr">
        <is>
          <t>T1, message action 아이템 생성기</t>
        </is>
      </c>
      <c r="J59" s="12" t="inlineStr">
        <is>
          <t>1. quickReply.items 13개 validate
2. 14개
3. 0개([])
4. items 중 1개의 action.label을 21자(grapheme 기준 20 초과)로</t>
        </is>
      </c>
      <c r="K59" s="12" t="inlineStr">
        <is>
          <t>quickReply 변형</t>
        </is>
      </c>
      <c r="L59" s="12" t="inlineStr">
        <is>
          <t>1. 200
2. 400(최대 13)
3. 400 또는 200 — 기록
4. 400, property='messages[0].quickReply.items[0].action.label'</t>
        </is>
      </c>
      <c r="M59" s="6" t="inlineStr"/>
      <c r="N59" s="13" t="n"/>
      <c r="O59" s="14" t="n"/>
      <c r="P59" s="13" t="n"/>
      <c r="Q59" s="13" t="n"/>
      <c r="R59" s="13" t="n"/>
      <c r="S59" s="13" t="n"/>
      <c r="T59" s="12" t="n"/>
    </row>
    <row r="60" ht="109" customHeight="1">
      <c r="A60" s="6" t="inlineStr">
        <is>
          <t>TC-MSG-007</t>
        </is>
      </c>
      <c r="B60" s="6" t="inlineStr">
        <is>
          <t>메시지 객체 검증</t>
        </is>
      </c>
      <c r="C60" s="6" t="inlineStr">
        <is>
          <t>sender 커스텀</t>
        </is>
      </c>
      <c r="D60" s="6" t="inlineStr">
        <is>
          <t>REQ-12</t>
        </is>
      </c>
      <c r="E60" s="6" t="inlineStr">
        <is>
          <t>요구사항</t>
        </is>
      </c>
      <c r="F60" s="6" t="inlineStr">
        <is>
          <t>무발송</t>
        </is>
      </c>
      <c r="G60" s="6" t="inlineStr">
        <is>
          <t>API</t>
        </is>
      </c>
      <c r="H60" s="6" t="inlineStr">
        <is>
          <t>P3</t>
        </is>
      </c>
      <c r="I60" s="12" t="inlineStr">
        <is>
          <t>T1</t>
        </is>
      </c>
      <c r="J60" s="12" t="inlineStr">
        <is>
          <t>1. sender.name 20자
2. 21자
3. sender.name='LINE'
4. sender.iconUrl='http://…png'(HTTP)
5. iconUrl='https://…jpg'</t>
        </is>
      </c>
      <c r="K60" s="12" t="inlineStr">
        <is>
          <t>sender 변형</t>
        </is>
      </c>
      <c r="L60" s="12" t="inlineStr">
        <is>
          <t>1. 200
2. 400(최대 20)
3. 400 또는 현재 동작 기록(금지어)
4. 400(HTTPS 필수)
5. 현재 동작 기록(PNG 외 확장자 검증은 URL 기준인지 실제 콘텐츠 기준인지)</t>
        </is>
      </c>
      <c r="M60" s="6" t="inlineStr"/>
      <c r="N60" s="13" t="n"/>
      <c r="O60" s="14" t="n"/>
      <c r="P60" s="13" t="n"/>
      <c r="Q60" s="13" t="n"/>
      <c r="R60" s="13" t="n"/>
      <c r="S60" s="13" t="n"/>
      <c r="T60" s="12" t="n"/>
    </row>
    <row r="61" ht="124" customHeight="1">
      <c r="A61" s="6" t="inlineStr">
        <is>
          <t>TC-MSG-008</t>
        </is>
      </c>
      <c r="B61" s="6" t="inlineStr">
        <is>
          <t>메시지 객체 검증</t>
        </is>
      </c>
      <c r="C61" s="6" t="inlineStr">
        <is>
          <t>validate와 실제 발송의 동등성</t>
        </is>
      </c>
      <c r="D61" s="6" t="inlineStr">
        <is>
          <t>REQ-12</t>
        </is>
      </c>
      <c r="E61" s="6" t="inlineStr">
        <is>
          <t>리스크 기반</t>
        </is>
      </c>
      <c r="F61" s="6" t="inlineStr">
        <is>
          <t>발송</t>
        </is>
      </c>
      <c r="G61" s="6" t="inlineStr">
        <is>
          <t>API</t>
        </is>
      </c>
      <c r="H61" s="6" t="inlineStr">
        <is>
          <t>P1</t>
        </is>
      </c>
      <c r="I61" s="12" t="inlineStr">
        <is>
          <t>U1, 무효 메시지 샘플 5종(TC-MSG-001~005에서 400을 받은 것)</t>
        </is>
      </c>
      <c r="J61" s="12" t="inlineStr">
        <is>
          <t>1. 각 샘플을 validate/push → 400 본문 저장
2. 같은 샘플을 실제 push(to=U1) 1회씩
3. 두 응답의 상태·message·details 비교
4. 유효 샘플 1종은 validate 200 후 push 200 확인</t>
        </is>
      </c>
      <c r="K61" s="12" t="inlineStr">
        <is>
          <t>무효 5종 + 유효 1종</t>
        </is>
      </c>
      <c r="L61" s="12" t="inlineStr">
        <is>
          <t>3. validate와 push의 400 본문이 동일하다(validate를 자동화 1차 게이트로 쓸 수 있는 근거)
4. 둘 다 200, 미도달 없음</t>
        </is>
      </c>
      <c r="M61" s="6" t="inlineStr"/>
      <c r="N61" s="13" t="n"/>
      <c r="O61" s="14" t="n"/>
      <c r="P61" s="13" t="n"/>
      <c r="Q61" s="13" t="n"/>
      <c r="R61" s="13" t="n"/>
      <c r="S61" s="13" t="n"/>
      <c r="T61" s="12" t="n"/>
    </row>
    <row r="62" ht="79" customHeight="1">
      <c r="A62" s="6" t="inlineStr">
        <is>
          <t>TC-MSG-009</t>
        </is>
      </c>
      <c r="B62" s="6" t="inlineStr">
        <is>
          <t>메시지 객체 검증</t>
        </is>
      </c>
      <c r="C62" s="6" t="inlineStr">
        <is>
          <t>엔드포인트별 validate</t>
        </is>
      </c>
      <c r="D62" s="6" t="inlineStr">
        <is>
          <t>REQ-12</t>
        </is>
      </c>
      <c r="E62" s="6" t="inlineStr">
        <is>
          <t>요구사항</t>
        </is>
      </c>
      <c r="F62" s="6" t="inlineStr">
        <is>
          <t>무발송</t>
        </is>
      </c>
      <c r="G62" s="6" t="inlineStr">
        <is>
          <t>API</t>
        </is>
      </c>
      <c r="H62" s="6" t="inlineStr">
        <is>
          <t>P2</t>
        </is>
      </c>
      <c r="I62" s="12" t="inlineStr">
        <is>
          <t>T1</t>
        </is>
      </c>
      <c r="J62" s="12" t="inlineStr">
        <is>
          <t>1. 같은 유효 텍스트를 validate/reply, /push, /multicast, /narrowcast, /broadcast 5개에 전송
2. 같은 무효 텍스트('')를 5개에 전송</t>
        </is>
      </c>
      <c r="K62" s="12" t="inlineStr">
        <is>
          <t>유효 1 + 무효 1 × 5 엔드포인트</t>
        </is>
      </c>
      <c r="L62" s="12" t="inlineStr">
        <is>
          <t>1. 5개 모두 200 '{}'
2. 5개 모두 400이며 details가 동일한 형식</t>
        </is>
      </c>
      <c r="M62" s="6" t="inlineStr"/>
      <c r="N62" s="13" t="n"/>
      <c r="O62" s="14" t="n"/>
      <c r="P62" s="13" t="n"/>
      <c r="Q62" s="13" t="n"/>
      <c r="R62" s="13" t="n"/>
      <c r="S62" s="13" t="n"/>
      <c r="T62" s="12" t="n"/>
    </row>
    <row r="63" ht="79" customHeight="1">
      <c r="A63" s="6" t="inlineStr">
        <is>
          <t>TC-MSG-010</t>
        </is>
      </c>
      <c r="B63" s="6" t="inlineStr">
        <is>
          <t>메시지 객체 검증</t>
        </is>
      </c>
      <c r="C63" s="6" t="inlineStr">
        <is>
          <t>메시지 타입 × 엔드포인트 페어와이즈</t>
        </is>
      </c>
      <c r="D63" s="6" t="inlineStr">
        <is>
          <t>REQ-12, REQ-06, REQ-07, REQ-08, REQ-09</t>
        </is>
      </c>
      <c r="E63" s="6" t="inlineStr">
        <is>
          <t>요구사항</t>
        </is>
      </c>
      <c r="F63" s="6" t="inlineStr">
        <is>
          <t>발송</t>
        </is>
      </c>
      <c r="G63" s="6" t="inlineStr">
        <is>
          <t>UI</t>
        </is>
      </c>
      <c r="H63" s="6" t="inlineStr">
        <is>
          <t>P2</t>
        </is>
      </c>
      <c r="I63" s="12" t="inlineStr">
        <is>
          <t>U1, 타입별 유효 샘플(text, sticker, image, location, template(buttons), flex) 준비</t>
        </is>
      </c>
      <c r="J63" s="12" t="inlineStr">
        <is>
          <t>1. 계획서 3.7 페어와이즈 표의 10개 조합을 validate로 검증
2. 조합마다 실제 발송 엔드포인트로 1회 발송(reply는 새 토큰 사용)
3. U1 앱에서 타입별 렌더링 확인</t>
        </is>
      </c>
      <c r="K63" s="12" t="inlineStr">
        <is>
          <t>페어와이즈 10조합</t>
        </is>
      </c>
      <c r="L63" s="12" t="inlineStr">
        <is>
          <t>1. 모두 200
2. 모두 200(reply·push는 sentMessages, multicast·broadcast는 '{}')
3. 각 타입이 의도대로 표시된다</t>
        </is>
      </c>
      <c r="M63" s="6" t="inlineStr"/>
      <c r="N63" s="13" t="n"/>
      <c r="O63" s="14" t="n"/>
      <c r="P63" s="13" t="n"/>
      <c r="Q63" s="13" t="n"/>
      <c r="R63" s="13" t="n"/>
      <c r="S63" s="13" t="n"/>
      <c r="T63" s="12" t="n"/>
    </row>
    <row r="64" ht="124" customHeight="1">
      <c r="A64" s="6" t="inlineStr">
        <is>
          <t>TC-MSG-011</t>
        </is>
      </c>
      <c r="B64" s="6" t="inlineStr">
        <is>
          <t>메시지 객체 검증</t>
        </is>
      </c>
      <c r="C64" s="6" t="inlineStr">
        <is>
          <t>URL 인코딩</t>
        </is>
      </c>
      <c r="D64" s="6" t="inlineStr">
        <is>
          <t>REQ-21, REQ-12</t>
        </is>
      </c>
      <c r="E64" s="6" t="inlineStr">
        <is>
          <t>요구사항</t>
        </is>
      </c>
      <c r="F64" s="6" t="inlineStr">
        <is>
          <t>무발송</t>
        </is>
      </c>
      <c r="G64" s="6" t="inlineStr">
        <is>
          <t>API</t>
        </is>
      </c>
      <c r="H64" s="6" t="inlineStr">
        <is>
          <t>P3</t>
        </is>
      </c>
      <c r="I64" s="12" t="inlineStr">
        <is>
          <t>T1</t>
        </is>
      </c>
      <c r="J64" s="12" t="inlineStr">
        <is>
          <t>1. image 메시지 originalContentUrl에 공백 포함 URL('https://example.com/a b.png') validate
2. 퍼센트 인코딩한 URL('…/a%20b.png')
3. 한글 경로를 UTF-8 퍼센트 인코딩한 URL</t>
        </is>
      </c>
      <c r="K64" s="12" t="inlineStr">
        <is>
          <t>URL 3종</t>
        </is>
      </c>
      <c r="L64" s="12" t="inlineStr">
        <is>
          <t>1. 400(인코딩 안 된 공백)
2~3. 200</t>
        </is>
      </c>
      <c r="M64" s="6" t="inlineStr"/>
      <c r="N64" s="13" t="n"/>
      <c r="O64" s="14" t="n"/>
      <c r="P64" s="13" t="n"/>
      <c r="Q64" s="13" t="n"/>
      <c r="R64" s="13" t="n"/>
      <c r="S64" s="13" t="n"/>
      <c r="T64" s="12" t="n"/>
    </row>
    <row r="65" ht="199" customHeight="1">
      <c r="A65" s="6" t="inlineStr">
        <is>
          <t>TC-WHK-001</t>
        </is>
      </c>
      <c r="B65" s="6" t="inlineStr">
        <is>
          <t>웹훅 수신·서명</t>
        </is>
      </c>
      <c r="C65" s="6" t="inlineStr">
        <is>
          <t>요청 형식</t>
        </is>
      </c>
      <c r="D65" s="6" t="inlineStr">
        <is>
          <t>REQ-13, REQ-15</t>
        </is>
      </c>
      <c r="E65" s="6" t="inlineStr">
        <is>
          <t>요구사항</t>
        </is>
      </c>
      <c r="F65" s="6" t="inlineStr">
        <is>
          <t>무발송</t>
        </is>
      </c>
      <c r="G65" s="6" t="inlineStr">
        <is>
          <t>API</t>
        </is>
      </c>
      <c r="H65" s="6" t="inlineStr">
        <is>
          <t>P1</t>
        </is>
      </c>
      <c r="I65" s="12" t="inlineStr">
        <is>
          <t>B1(ngrok HTTPS) 수신 로그: 헤더·원문 body 저장, CH1 Webhook URL=B1</t>
        </is>
      </c>
      <c r="J65" s="12" t="inlineStr">
        <is>
          <t>1. U1이 봇에 텍스트 전송
2. B1 로그에서 요청 메서드·헤더·본문 확인</t>
        </is>
      </c>
      <c r="K65" s="12" t="inlineStr">
        <is>
          <t>U1 텍스트</t>
        </is>
      </c>
      <c r="L65" s="12" t="inlineStr">
        <is>
          <t>1. POST, 헤더에 x-line-signature(대소문자 무관) 존재
2. 본문 destination이 U[0-9a-f]{32}이고 GET /v2/bot/info의 userId와 같다; events[0]에 type='message', mode='active', timestamp(ms 정수), source{type:'user', userId}, webhookEventId(ULID 26자), deliveryContext.isRedelivery=false, replyToken, message{id, type:'text', text, quoteToken}</t>
        </is>
      </c>
      <c r="M65" s="6" t="inlineStr"/>
      <c r="N65" s="13" t="n"/>
      <c r="O65" s="14" t="n"/>
      <c r="P65" s="13" t="n"/>
      <c r="Q65" s="13" t="n"/>
      <c r="R65" s="13" t="n"/>
      <c r="S65" s="13" t="n"/>
      <c r="T65" s="12" t="n"/>
    </row>
    <row r="66" ht="109" customHeight="1">
      <c r="A66" s="6" t="inlineStr">
        <is>
          <t>TC-WHK-002</t>
        </is>
      </c>
      <c r="B66" s="6" t="inlineStr">
        <is>
          <t>웹훅 수신·서명</t>
        </is>
      </c>
      <c r="C66" s="6" t="inlineStr">
        <is>
          <t>서명 검증 성공</t>
        </is>
      </c>
      <c r="D66" s="6" t="inlineStr">
        <is>
          <t>REQ-14</t>
        </is>
      </c>
      <c r="E66" s="6" t="inlineStr">
        <is>
          <t>요구사항</t>
        </is>
      </c>
      <c r="F66" s="6" t="inlineStr">
        <is>
          <t>무발송</t>
        </is>
      </c>
      <c r="G66" s="6" t="inlineStr">
        <is>
          <t>API</t>
        </is>
      </c>
      <c r="H66" s="6" t="inlineStr">
        <is>
          <t>P1</t>
        </is>
      </c>
      <c r="I66" s="12" t="inlineStr">
        <is>
          <t>B1이 원문 body와 x-line-signature를 저장</t>
        </is>
      </c>
      <c r="J66" s="12" t="inlineStr">
        <is>
          <t>1. TC-WHK-001에서 저장한 원문 body와 CH1 secret으로 HMAC-SHA256 → Base64 계산
2. 헤더 값과 비교
3. body를 json.loads → json.dumps로 재직렬화한 문자열로 다시 계산</t>
        </is>
      </c>
      <c r="K66" s="12" t="inlineStr">
        <is>
          <t>원문 body, secret</t>
        </is>
      </c>
      <c r="L66" s="12" t="inlineStr">
        <is>
          <t>2. 일치
3. 불일치(공백·순서가 달라짐) — 검증은 반드시 원문 바이트로 해야 함을 확인</t>
        </is>
      </c>
      <c r="M66" s="6" t="inlineStr"/>
      <c r="N66" s="13" t="n"/>
      <c r="O66" s="14" t="n"/>
      <c r="P66" s="13" t="n"/>
      <c r="Q66" s="13" t="n"/>
      <c r="R66" s="13" t="n"/>
      <c r="S66" s="13" t="n"/>
      <c r="T66" s="12" t="n"/>
    </row>
    <row r="67" ht="94" customHeight="1">
      <c r="A67" s="6" t="inlineStr">
        <is>
          <t>TC-WHK-003</t>
        </is>
      </c>
      <c r="B67" s="6" t="inlineStr">
        <is>
          <t>웹훅 수신·서명</t>
        </is>
      </c>
      <c r="C67" s="6" t="inlineStr">
        <is>
          <t>서명 불일치 거부</t>
        </is>
      </c>
      <c r="D67" s="6" t="inlineStr">
        <is>
          <t>REQ-14</t>
        </is>
      </c>
      <c r="E67" s="6" t="inlineStr">
        <is>
          <t>요구사항</t>
        </is>
      </c>
      <c r="F67" s="6" t="inlineStr">
        <is>
          <t>무발송</t>
        </is>
      </c>
      <c r="G67" s="6" t="inlineStr">
        <is>
          <t>API</t>
        </is>
      </c>
      <c r="H67" s="6" t="inlineStr">
        <is>
          <t>P1</t>
        </is>
      </c>
      <c r="I67" s="12" t="inlineStr">
        <is>
          <t>B1 서명 검증 ON</t>
        </is>
      </c>
      <c r="J67" s="12" t="inlineStr">
        <is>
          <t>1. 저장한 유효 웹훅 본문을 x-line-signature를 1자 바꿔 B1에 로컬 재전송
2. 본문의 text를 1자 바꾸고 원 서명 그대로 전송
3. 다른 채널 secret으로 서명해 전송</t>
        </is>
      </c>
      <c r="K67" s="12" t="inlineStr">
        <is>
          <t>변조 요청 3종</t>
        </is>
      </c>
      <c r="L67" s="12" t="inlineStr">
        <is>
          <t>1~3. B1이 이벤트를 처리하지 않고(reply·DB 기록 없음) 4xx(예: 400/401)를 반환하며 거부 로그를 남긴다</t>
        </is>
      </c>
      <c r="M67" s="6" t="inlineStr"/>
      <c r="N67" s="13" t="n"/>
      <c r="O67" s="14" t="n"/>
      <c r="P67" s="13" t="n"/>
      <c r="Q67" s="13" t="n"/>
      <c r="R67" s="13" t="n"/>
      <c r="S67" s="13" t="n"/>
      <c r="T67" s="12" t="n"/>
    </row>
    <row r="68" ht="49" customHeight="1">
      <c r="A68" s="6" t="inlineStr">
        <is>
          <t>TC-WHK-004</t>
        </is>
      </c>
      <c r="B68" s="6" t="inlineStr">
        <is>
          <t>웹훅 수신·서명</t>
        </is>
      </c>
      <c r="C68" s="6" t="inlineStr">
        <is>
          <t>서명 누락</t>
        </is>
      </c>
      <c r="D68" s="6" t="inlineStr">
        <is>
          <t>REQ-14</t>
        </is>
      </c>
      <c r="E68" s="6" t="inlineStr">
        <is>
          <t>요구사항</t>
        </is>
      </c>
      <c r="F68" s="6" t="inlineStr">
        <is>
          <t>무발송</t>
        </is>
      </c>
      <c r="G68" s="6" t="inlineStr">
        <is>
          <t>API</t>
        </is>
      </c>
      <c r="H68" s="6" t="inlineStr">
        <is>
          <t>P1</t>
        </is>
      </c>
      <c r="I68" s="12" t="inlineStr">
        <is>
          <t>B1 서명 검증 ON</t>
        </is>
      </c>
      <c r="J68" s="12" t="inlineStr">
        <is>
          <t>1. x-line-signature 헤더 없이 유효 본문 전송
2. 빈 문자열 서명으로 전송</t>
        </is>
      </c>
      <c r="K68" s="12" t="inlineStr">
        <is>
          <t>헤더 누락/빈값</t>
        </is>
      </c>
      <c r="L68" s="12" t="inlineStr">
        <is>
          <t>1~2. 거부(4xx), 이벤트 미처리</t>
        </is>
      </c>
      <c r="M68" s="6" t="inlineStr"/>
      <c r="N68" s="13" t="n"/>
      <c r="O68" s="14" t="n"/>
      <c r="P68" s="13" t="n"/>
      <c r="Q68" s="13" t="n"/>
      <c r="R68" s="13" t="n"/>
      <c r="S68" s="13" t="n"/>
      <c r="T68" s="12" t="n"/>
    </row>
    <row r="69" ht="94" customHeight="1">
      <c r="A69" s="6" t="inlineStr">
        <is>
          <t>TC-WHK-005</t>
        </is>
      </c>
      <c r="B69" s="6" t="inlineStr">
        <is>
          <t>웹훅 수신·서명</t>
        </is>
      </c>
      <c r="C69" s="6" t="inlineStr">
        <is>
          <t>헤더 이름 대소문자</t>
        </is>
      </c>
      <c r="D69" s="6" t="inlineStr">
        <is>
          <t>REQ-13</t>
        </is>
      </c>
      <c r="E69" s="6" t="inlineStr">
        <is>
          <t>요구사항</t>
        </is>
      </c>
      <c r="F69" s="6" t="inlineStr">
        <is>
          <t>무발송</t>
        </is>
      </c>
      <c r="G69" s="6" t="inlineStr">
        <is>
          <t>API</t>
        </is>
      </c>
      <c r="H69" s="6" t="inlineStr">
        <is>
          <t>P2</t>
        </is>
      </c>
      <c r="I69" s="12" t="inlineStr">
        <is>
          <t>B1</t>
        </is>
      </c>
      <c r="J69" s="12" t="inlineStr">
        <is>
          <t>1. 'X-Line-Signature'로 전송
2. 'x-line-signature'로 전송
3. 'X-LINE-SIGNATURE'로 전송(모두 유효 서명)</t>
        </is>
      </c>
      <c r="K69" s="12" t="inlineStr">
        <is>
          <t>헤더 표기 3종</t>
        </is>
      </c>
      <c r="L69" s="12" t="inlineStr">
        <is>
          <t>1~3. 모두 검증 성공·200(봇서버가 헤더 이름을 대소문자 구분 없이 읽음)</t>
        </is>
      </c>
      <c r="M69" s="6" t="inlineStr"/>
      <c r="N69" s="13" t="n"/>
      <c r="O69" s="14" t="n"/>
      <c r="P69" s="13" t="n"/>
      <c r="Q69" s="13" t="n"/>
      <c r="R69" s="13" t="n"/>
      <c r="S69" s="13" t="n"/>
      <c r="T69" s="12" t="n"/>
    </row>
    <row r="70" ht="109" customHeight="1">
      <c r="A70" s="6" t="inlineStr">
        <is>
          <t>TC-WHK-006</t>
        </is>
      </c>
      <c r="B70" s="6" t="inlineStr">
        <is>
          <t>웹훅 수신·서명</t>
        </is>
      </c>
      <c r="C70" s="6" t="inlineStr">
        <is>
          <t>통신 확인(빈 events)</t>
        </is>
      </c>
      <c r="D70" s="6" t="inlineStr">
        <is>
          <t>REQ-13, REQ-17</t>
        </is>
      </c>
      <c r="E70" s="6" t="inlineStr">
        <is>
          <t>요구사항</t>
        </is>
      </c>
      <c r="F70" s="6" t="inlineStr">
        <is>
          <t>무발송</t>
        </is>
      </c>
      <c r="G70" s="6" t="inlineStr">
        <is>
          <t>UI</t>
        </is>
      </c>
      <c r="H70" s="6" t="inlineStr">
        <is>
          <t>P1</t>
        </is>
      </c>
      <c r="I70" s="12" t="inlineStr">
        <is>
          <t>CH1 Webhook URL=B1, Webhook 사용 ON</t>
        </is>
      </c>
      <c r="J70" s="12" t="inlineStr">
        <is>
          <t>1. LINE Developers Console의 Webhook URL [Verify] 클릭
2. B1 로그 확인
3. POST /v2/bot/channel/webhook/test(endpoint 미지정) 호출</t>
        </is>
      </c>
      <c r="K70" s="12" t="inlineStr">
        <is>
          <t>콘솔 Verify, test API</t>
        </is>
      </c>
      <c r="L70" s="12" t="inlineStr">
        <is>
          <t>1. 콘솔에 Success 표시
2. B1이 {destination, events: []}를 받고 200을 반환했다
3. 200, success=true, statusCode=200, reason='OK'</t>
        </is>
      </c>
      <c r="M70" s="6" t="inlineStr"/>
      <c r="N70" s="13" t="n"/>
      <c r="O70" s="14" t="n"/>
      <c r="P70" s="13" t="n"/>
      <c r="Q70" s="13" t="n"/>
      <c r="R70" s="13" t="n"/>
      <c r="S70" s="13" t="n"/>
      <c r="T70" s="12" t="n"/>
    </row>
    <row r="71" ht="64" customHeight="1">
      <c r="A71" s="6" t="inlineStr">
        <is>
          <t>TC-WHK-007</t>
        </is>
      </c>
      <c r="B71" s="6" t="inlineStr">
        <is>
          <t>웹훅 수신·서명</t>
        </is>
      </c>
      <c r="C71" s="6" t="inlineStr">
        <is>
          <t>특수문자 본문 서명</t>
        </is>
      </c>
      <c r="D71" s="6" t="inlineStr">
        <is>
          <t>REQ-14</t>
        </is>
      </c>
      <c r="E71" s="6" t="inlineStr">
        <is>
          <t>리스크 기반</t>
        </is>
      </c>
      <c r="F71" s="6" t="inlineStr">
        <is>
          <t>무발송</t>
        </is>
      </c>
      <c r="G71" s="6" t="inlineStr">
        <is>
          <t>API</t>
        </is>
      </c>
      <c r="H71" s="6" t="inlineStr">
        <is>
          <t>P2</t>
        </is>
      </c>
      <c r="I71" s="12" t="inlineStr">
        <is>
          <t>B1</t>
        </is>
      </c>
      <c r="J71" s="12" t="inlineStr">
        <is>
          <t>1. U1이 백슬래시·따옴표·줄바꿈·이모지가 포함된 텍스트('a\b "c"\n🍎')를 봇에 전송
2. B1 서명 검증 결과 확인</t>
        </is>
      </c>
      <c r="K71" s="12" t="inlineStr">
        <is>
          <t>특수문자 텍스트</t>
        </is>
      </c>
      <c r="L71" s="12" t="inlineStr">
        <is>
          <t>2. 검증 성공(이스케이프 문자열을 변형 없이 원문으로 계산). 실패하면 봇서버가 본문을 디코딩 후 검증하는 결함</t>
        </is>
      </c>
      <c r="M71" s="6" t="inlineStr"/>
      <c r="N71" s="13" t="n"/>
      <c r="O71" s="14" t="n"/>
      <c r="P71" s="13" t="n"/>
      <c r="Q71" s="13" t="n"/>
      <c r="R71" s="13" t="n"/>
      <c r="S71" s="13" t="n"/>
      <c r="T71" s="12" t="n"/>
    </row>
    <row r="72" ht="79" customHeight="1">
      <c r="A72" s="6" t="inlineStr">
        <is>
          <t>TC-WHK-008</t>
        </is>
      </c>
      <c r="B72" s="6" t="inlineStr">
        <is>
          <t>웹훅 수신·서명</t>
        </is>
      </c>
      <c r="C72" s="6" t="inlineStr">
        <is>
          <t>복수 이벤트 배열</t>
        </is>
      </c>
      <c r="D72" s="6" t="inlineStr">
        <is>
          <t>REQ-13, REQ-15</t>
        </is>
      </c>
      <c r="E72" s="6" t="inlineStr">
        <is>
          <t>리스크 기반</t>
        </is>
      </c>
      <c r="F72" s="6" t="inlineStr">
        <is>
          <t>무발송</t>
        </is>
      </c>
      <c r="G72" s="6" t="inlineStr">
        <is>
          <t>API</t>
        </is>
      </c>
      <c r="H72" s="6" t="inlineStr">
        <is>
          <t>P2</t>
        </is>
      </c>
      <c r="I72" s="12" t="inlineStr">
        <is>
          <t>B1</t>
        </is>
      </c>
      <c r="J72" s="12" t="inlineStr">
        <is>
          <t>1. U1이 1초 내에 메시지 3건 연속 전송
2. B1 수신 요청 수와 각 events 길이 기록</t>
        </is>
      </c>
      <c r="K72" s="12" t="inlineStr">
        <is>
          <t>연속 메시지 3건</t>
        </is>
      </c>
      <c r="L72" s="12" t="inlineStr">
        <is>
          <t>1. events 배열에 1개 이상의 이벤트가 담겨 오며(배치 가능), 봇서버가 배열을 순회해 3건 모두 처리한다
2. webhookEventId 3개가 모두 다르다</t>
        </is>
      </c>
      <c r="M72" s="6" t="inlineStr"/>
      <c r="N72" s="13" t="n"/>
      <c r="O72" s="14" t="n"/>
      <c r="P72" s="13" t="n"/>
      <c r="Q72" s="13" t="n"/>
      <c r="R72" s="13" t="n"/>
      <c r="S72" s="13" t="n"/>
      <c r="T72" s="12" t="n"/>
    </row>
    <row r="73" ht="169" customHeight="1">
      <c r="A73" s="6" t="inlineStr">
        <is>
          <t>TC-WHK-009</t>
        </is>
      </c>
      <c r="B73" s="6" t="inlineStr">
        <is>
          <t>웹훅 수신·서명</t>
        </is>
      </c>
      <c r="C73" s="6" t="inlineStr">
        <is>
          <t>이벤트 타입 분기</t>
        </is>
      </c>
      <c r="D73" s="6" t="inlineStr">
        <is>
          <t>REQ-15</t>
        </is>
      </c>
      <c r="E73" s="6" t="inlineStr">
        <is>
          <t>요구사항</t>
        </is>
      </c>
      <c r="F73" s="6" t="inlineStr">
        <is>
          <t>무발송</t>
        </is>
      </c>
      <c r="G73" s="6" t="inlineStr">
        <is>
          <t>UI</t>
        </is>
      </c>
      <c r="H73" s="6" t="inlineStr">
        <is>
          <t>P2</t>
        </is>
      </c>
      <c r="I73" s="12" t="inlineStr">
        <is>
          <t>B1, U2 보조 계정</t>
        </is>
      </c>
      <c r="J73" s="12" t="inlineStr">
        <is>
          <t>1. U2가 봇 차단 해제(follow) → 차단(unfollow)
2. U1이 스티커·이미지·위치 전송
3. U1이 메시지 전송 취소(unsend)
4. 그룹 G1에 봇 초대(join) 후 내보내기(leave)</t>
        </is>
      </c>
      <c r="K73" s="12" t="inlineStr">
        <is>
          <t>이벤트 6종</t>
        </is>
      </c>
      <c r="L73" s="12" t="inlineStr">
        <is>
          <t>1. follow 이벤트(replyToken 있음), unfollow(replyToken 없음)
2. message.type이 sticker/image/location, image는 contentProvider.type='line'
3. unsend 이벤트에 unsend.messageId; 봇서버가 해당 메시지를 저장소에서 삭제한다(권고)
4. join(replyToken 있음), leave</t>
        </is>
      </c>
      <c r="M73" s="6" t="inlineStr"/>
      <c r="N73" s="13" t="n"/>
      <c r="O73" s="14" t="n"/>
      <c r="P73" s="13" t="n"/>
      <c r="Q73" s="13" t="n"/>
      <c r="R73" s="13" t="n"/>
      <c r="S73" s="13" t="n"/>
      <c r="T73" s="12" t="n"/>
    </row>
    <row r="74" ht="79" customHeight="1">
      <c r="A74" s="6" t="inlineStr">
        <is>
          <t>TC-WHK-010</t>
        </is>
      </c>
      <c r="B74" s="6" t="inlineStr">
        <is>
          <t>웹훅 수신·서명</t>
        </is>
      </c>
      <c r="C74" s="6" t="inlineStr">
        <is>
          <t>비동기 처리·응답 시간</t>
        </is>
      </c>
      <c r="D74" s="6" t="inlineStr">
        <is>
          <t>REQ-13</t>
        </is>
      </c>
      <c r="E74" s="6" t="inlineStr">
        <is>
          <t>리스크 기반</t>
        </is>
      </c>
      <c r="F74" s="6" t="inlineStr">
        <is>
          <t>무발송</t>
        </is>
      </c>
      <c r="G74" s="6" t="inlineStr">
        <is>
          <t>API</t>
        </is>
      </c>
      <c r="H74" s="6" t="inlineStr">
        <is>
          <t>P2</t>
        </is>
      </c>
      <c r="I74" s="12" t="inlineStr">
        <is>
          <t>B1이 이벤트 처리를 큐로 넘기는 구조</t>
        </is>
      </c>
      <c r="J74" s="12" t="inlineStr">
        <is>
          <t>1. B1의 이벤트 처리 핸들러에 인위적 5초 지연 삽입
2. U1이 메시지 전송
3. B1의 응답 반환 시각과 처리 완료 시각 기록</t>
        </is>
      </c>
      <c r="K74" s="12" t="inlineStr">
        <is>
          <t>5초 지연</t>
        </is>
      </c>
      <c r="L74" s="12" t="inlineStr">
        <is>
          <t>3. 200 응답은 수신 직후(1초 이내) 반환되고 처리는 이후에 완료된다(동기 처리면 타임아웃·재전송 유발 위험)</t>
        </is>
      </c>
      <c r="M74" s="6" t="inlineStr"/>
      <c r="N74" s="13" t="n"/>
      <c r="O74" s="14" t="n"/>
      <c r="P74" s="13" t="n"/>
      <c r="Q74" s="13" t="n"/>
      <c r="R74" s="13" t="n"/>
      <c r="S74" s="13" t="n"/>
      <c r="T74" s="12" t="n"/>
    </row>
    <row r="75" ht="64" customHeight="1">
      <c r="A75" s="6" t="inlineStr">
        <is>
          <t>TC-WHK-011</t>
        </is>
      </c>
      <c r="B75" s="6" t="inlineStr">
        <is>
          <t>웹훅 수신·서명</t>
        </is>
      </c>
      <c r="C75" s="6" t="inlineStr">
        <is>
          <t>웹훅 로그 보관</t>
        </is>
      </c>
      <c r="D75" s="6" t="inlineStr">
        <is>
          <t>REQ-22</t>
        </is>
      </c>
      <c r="E75" s="6" t="inlineStr">
        <is>
          <t>요구사항</t>
        </is>
      </c>
      <c r="F75" s="6" t="inlineStr">
        <is>
          <t>무발송</t>
        </is>
      </c>
      <c r="G75" s="6" t="inlineStr">
        <is>
          <t>API</t>
        </is>
      </c>
      <c r="H75" s="6" t="inlineStr">
        <is>
          <t>P3</t>
        </is>
      </c>
      <c r="I75" s="12" t="inlineStr">
        <is>
          <t>B1</t>
        </is>
      </c>
      <c r="J75" s="12" t="inlineStr">
        <is>
          <t>1. U1 메시지 1건 수신
2. B1 로그 파일 확인</t>
        </is>
      </c>
      <c r="K75" s="12" t="inlineStr">
        <is>
          <t>로그 항목</t>
        </is>
      </c>
      <c r="L75" s="12" t="inlineStr">
        <is>
          <t>2. 송신 IP, 수신 시각, 메서드, 경로, 반환 상태 코드, x-line-signature, 이벤트 본문이 남는다. 채널 secret·토큰은 로그에 없다</t>
        </is>
      </c>
      <c r="M75" s="6" t="inlineStr"/>
      <c r="N75" s="13" t="n"/>
      <c r="O75" s="14" t="n"/>
      <c r="P75" s="13" t="n"/>
      <c r="Q75" s="13" t="n"/>
      <c r="R75" s="13" t="n"/>
      <c r="S75" s="13" t="n"/>
      <c r="T75" s="12" t="n"/>
    </row>
    <row r="76" ht="79" customHeight="1">
      <c r="A76" s="6" t="inlineStr">
        <is>
          <t>TC-WHK-012</t>
        </is>
      </c>
      <c r="B76" s="6" t="inlineStr">
        <is>
          <t>웹훅 수신·서명</t>
        </is>
      </c>
      <c r="C76" s="6" t="inlineStr">
        <is>
          <t>group source 속성</t>
        </is>
      </c>
      <c r="D76" s="6" t="inlineStr">
        <is>
          <t>REQ-15</t>
        </is>
      </c>
      <c r="E76" s="6" t="inlineStr">
        <is>
          <t>요구사항</t>
        </is>
      </c>
      <c r="F76" s="6" t="inlineStr">
        <is>
          <t>무발송</t>
        </is>
      </c>
      <c r="G76" s="6" t="inlineStr">
        <is>
          <t>UI</t>
        </is>
      </c>
      <c r="H76" s="6" t="inlineStr">
        <is>
          <t>P3</t>
        </is>
      </c>
      <c r="I76" s="12" t="inlineStr">
        <is>
          <t>봇이 G1 참여, U1·U2가 구성원</t>
        </is>
      </c>
      <c r="J76" s="12" t="inlineStr">
        <is>
          <t>1. U1이 G1에서 메시지 전송
2. U2가 G1에서 봇을 멘션한 메시지 전송</t>
        </is>
      </c>
      <c r="K76" s="12" t="inlineStr">
        <is>
          <t>그룹 메시지</t>
        </is>
      </c>
      <c r="L76" s="12" t="inlineStr">
        <is>
          <t>1. source{type:'group', groupId, userId=U1}
2. message.mention.mentionees[0].isSelf=true, userId=봇 userId(destination과 동일)</t>
        </is>
      </c>
      <c r="M76" s="6" t="inlineStr"/>
      <c r="N76" s="13" t="n"/>
      <c r="O76" s="14" t="n"/>
      <c r="P76" s="13" t="n"/>
      <c r="Q76" s="13" t="n"/>
      <c r="R76" s="13" t="n"/>
      <c r="S76" s="13" t="n"/>
      <c r="T76" s="12" t="n"/>
    </row>
    <row r="77" ht="109" customHeight="1">
      <c r="A77" s="6" t="inlineStr">
        <is>
          <t>TC-WHS-001</t>
        </is>
      </c>
      <c r="B77" s="6" t="inlineStr">
        <is>
          <t>웹훅 설정·재전송</t>
        </is>
      </c>
      <c r="C77" s="6" t="inlineStr">
        <is>
          <t>endpoint 설정·조회</t>
        </is>
      </c>
      <c r="D77" s="6" t="inlineStr">
        <is>
          <t>REQ-17</t>
        </is>
      </c>
      <c r="E77" s="6" t="inlineStr">
        <is>
          <t>요구사항</t>
        </is>
      </c>
      <c r="F77" s="6" t="inlineStr">
        <is>
          <t>무발송</t>
        </is>
      </c>
      <c r="G77" s="6" t="inlineStr">
        <is>
          <t>API</t>
        </is>
      </c>
      <c r="H77" s="6" t="inlineStr">
        <is>
          <t>P2</t>
        </is>
      </c>
      <c r="I77" s="12" t="inlineStr">
        <is>
          <t>T1, B1 URL</t>
        </is>
      </c>
      <c r="J77" s="12" t="inlineStr">
        <is>
          <t>1. PUT /v2/bot/channel/webhook/endpoint {endpoint: B1 URL}
2. GET /v2/bot/channel/webhook/endpoint
3. 1분 후 U1 메시지 전송으로 반영 확인</t>
        </is>
      </c>
      <c r="K77" s="12" t="inlineStr">
        <is>
          <t>B1 URL</t>
        </is>
      </c>
      <c r="L77" s="12" t="inlineStr">
        <is>
          <t>1. 200 '{}'
2. endpoint=B1 URL, active=true
3. B1에 웹훅 도착(캐시 반영 최대 1분)</t>
        </is>
      </c>
      <c r="M77" s="6" t="inlineStr"/>
      <c r="N77" s="13" t="n"/>
      <c r="O77" s="14" t="n"/>
      <c r="P77" s="13" t="n"/>
      <c r="Q77" s="13" t="n"/>
      <c r="R77" s="13" t="n"/>
      <c r="S77" s="13" t="n"/>
      <c r="T77" s="12" t="n"/>
    </row>
    <row r="78" ht="94" customHeight="1">
      <c r="A78" s="6" t="inlineStr">
        <is>
          <t>TC-WHS-002</t>
        </is>
      </c>
      <c r="B78" s="6" t="inlineStr">
        <is>
          <t>웹훅 설정·재전송</t>
        </is>
      </c>
      <c r="C78" s="6" t="inlineStr">
        <is>
          <t>endpoint URL 검증</t>
        </is>
      </c>
      <c r="D78" s="6" t="inlineStr">
        <is>
          <t>REQ-17, REQ-05</t>
        </is>
      </c>
      <c r="E78" s="6" t="inlineStr">
        <is>
          <t>요구사항</t>
        </is>
      </c>
      <c r="F78" s="6" t="inlineStr">
        <is>
          <t>무발송</t>
        </is>
      </c>
      <c r="G78" s="6" t="inlineStr">
        <is>
          <t>API</t>
        </is>
      </c>
      <c r="H78" s="6" t="inlineStr">
        <is>
          <t>P2</t>
        </is>
      </c>
      <c r="I78" s="12" t="inlineStr">
        <is>
          <t>T1</t>
        </is>
      </c>
      <c r="J78" s="12" t="inlineStr">
        <is>
          <t>1. endpoint='http://example.com/hook'(HTTP)
2. 500자 HTTPS URL
3. 501자 HTTPS URL
4. endpoint='not a url'
5. endpoint 누락</t>
        </is>
      </c>
      <c r="K78" s="12" t="inlineStr">
        <is>
          <t>URL 변형 5종</t>
        </is>
      </c>
      <c r="L78" s="12" t="inlineStr">
        <is>
          <t>2. 200
1, 3~5. 400, details.property='endpoint'</t>
        </is>
      </c>
      <c r="M78" s="6" t="inlineStr"/>
      <c r="N78" s="13" t="n"/>
      <c r="O78" s="14" t="n"/>
      <c r="P78" s="13" t="n"/>
      <c r="Q78" s="13" t="n"/>
      <c r="R78" s="13" t="n"/>
      <c r="S78" s="13" t="n"/>
      <c r="T78" s="12" t="n"/>
    </row>
    <row r="79" ht="184" customHeight="1">
      <c r="A79" s="6" t="inlineStr">
        <is>
          <t>TC-WHS-003</t>
        </is>
      </c>
      <c r="B79" s="6" t="inlineStr">
        <is>
          <t>웹훅 설정·재전송</t>
        </is>
      </c>
      <c r="C79" s="6" t="inlineStr">
        <is>
          <t>webhook test 응답 필드</t>
        </is>
      </c>
      <c r="D79" s="6" t="inlineStr">
        <is>
          <t>REQ-17</t>
        </is>
      </c>
      <c r="E79" s="6" t="inlineStr">
        <is>
          <t>요구사항</t>
        </is>
      </c>
      <c r="F79" s="6" t="inlineStr">
        <is>
          <t>무발송</t>
        </is>
      </c>
      <c r="G79" s="6" t="inlineStr">
        <is>
          <t>API</t>
        </is>
      </c>
      <c r="H79" s="6" t="inlineStr">
        <is>
          <t>P2</t>
        </is>
      </c>
      <c r="I79" s="12" t="inlineStr">
        <is>
          <t>T1, B1 정상</t>
        </is>
      </c>
      <c r="J79" s="12" t="inlineStr">
        <is>
          <t>1. POST /v2/bot/channel/webhook/test {endpoint: B1 URL}
2. B1을 500 응답 모드로 두고 재호출
3. B1을 30초 지연 모드로 두고 재호출
4. B1(ngrok)을 종료하고 재호출
※ 60 req/h 한도 내</t>
        </is>
      </c>
      <c r="K79" s="12" t="inlineStr">
        <is>
          <t>B1 모드 4종</t>
        </is>
      </c>
      <c r="L79" s="12" t="inlineStr">
        <is>
          <t>1. success=true, statusCode=200, reason='OK', timestamp
2. success=false, statusCode=500, reason='ERROR_STATUS_CODE'
3. success=false, reason='REQUEST_TIMEOUT'(Q09: 타임아웃 기준 초 기록)
4. success=false, reason='COULD_NOT_CONNECT', statusCode ≤ 0</t>
        </is>
      </c>
      <c r="M79" s="6" t="inlineStr">
        <is>
          <t>Q09</t>
        </is>
      </c>
      <c r="N79" s="13" t="n"/>
      <c r="O79" s="14" t="n"/>
      <c r="P79" s="13" t="n"/>
      <c r="Q79" s="13" t="n"/>
      <c r="R79" s="13" t="n"/>
      <c r="S79" s="13" t="n"/>
      <c r="T79" s="12" t="n"/>
    </row>
    <row r="80" ht="109" customHeight="1">
      <c r="A80" s="6" t="inlineStr">
        <is>
          <t>TC-WHS-004</t>
        </is>
      </c>
      <c r="B80" s="6" t="inlineStr">
        <is>
          <t>웹훅 설정·재전송</t>
        </is>
      </c>
      <c r="C80" s="6" t="inlineStr">
        <is>
          <t>webhook test 오류</t>
        </is>
      </c>
      <c r="D80" s="6" t="inlineStr">
        <is>
          <t>REQ-17</t>
        </is>
      </c>
      <c r="E80" s="6" t="inlineStr">
        <is>
          <t>요구사항</t>
        </is>
      </c>
      <c r="F80" s="6" t="inlineStr">
        <is>
          <t>무발송</t>
        </is>
      </c>
      <c r="G80" s="6" t="inlineStr">
        <is>
          <t>API</t>
        </is>
      </c>
      <c r="H80" s="6" t="inlineStr">
        <is>
          <t>P3</t>
        </is>
      </c>
      <c r="I80" s="12" t="inlineStr">
        <is>
          <t>T1</t>
        </is>
      </c>
      <c r="J80" s="12" t="inlineStr">
        <is>
          <t>1. endpoint='http://…'(비HTTPS)
2. endpoint 501자
3. 해석 불가 도메인 'https://no-such-host.invalid/hook'
4. 채널에 endpoint 미설정 상태에서 endpoint 없이 호출</t>
        </is>
      </c>
      <c r="K80" s="12" t="inlineStr">
        <is>
          <t>URL 변형 + 미설정</t>
        </is>
      </c>
      <c r="L80" s="12" t="inlineStr">
        <is>
          <t>4. 404
1~3. 400인지 200+success=false인지 현재 동작 기록(Q13)</t>
        </is>
      </c>
      <c r="M80" s="6" t="inlineStr">
        <is>
          <t>Q13</t>
        </is>
      </c>
      <c r="N80" s="13" t="n"/>
      <c r="O80" s="14" t="n"/>
      <c r="P80" s="13" t="n"/>
      <c r="Q80" s="13" t="n"/>
      <c r="R80" s="13" t="n"/>
      <c r="S80" s="13" t="n"/>
      <c r="T80" s="12" t="n"/>
    </row>
    <row r="81" ht="94" customHeight="1">
      <c r="A81" s="6" t="inlineStr">
        <is>
          <t>TC-WHS-005</t>
        </is>
      </c>
      <c r="B81" s="6" t="inlineStr">
        <is>
          <t>웹훅 설정·재전송</t>
        </is>
      </c>
      <c r="C81" s="6" t="inlineStr">
        <is>
          <t>재전송 발생·동일성</t>
        </is>
      </c>
      <c r="D81" s="6" t="inlineStr">
        <is>
          <t>REQ-16, REQ-15</t>
        </is>
      </c>
      <c r="E81" s="6" t="inlineStr">
        <is>
          <t>요구사항</t>
        </is>
      </c>
      <c r="F81" s="6" t="inlineStr">
        <is>
          <t>무발송</t>
        </is>
      </c>
      <c r="G81" s="6" t="inlineStr">
        <is>
          <t>수동</t>
        </is>
      </c>
      <c r="H81" s="6" t="inlineStr">
        <is>
          <t>P1</t>
        </is>
      </c>
      <c r="I81" s="12" t="inlineStr">
        <is>
          <t>CH1 Webhook redelivery ON, B1 500 응답 모드</t>
        </is>
      </c>
      <c r="J81" s="12" t="inlineStr">
        <is>
          <t>1. U1 메시지 전송 → B1이 500 반환, 원본 이벤트 저장
2. B1을 200 모드로 전환하고 재전송 대기(최대 30분)
3. 재전송 이벤트와 원본 비교</t>
        </is>
      </c>
      <c r="K81" s="12" t="inlineStr">
        <is>
          <t>원본 vs 재전송</t>
        </is>
      </c>
      <c r="L81" s="12" t="inlineStr">
        <is>
          <t>2. 재전송 요청이 도착한다
3. deliveryContext.isRedelivery=true, 그 외 webhookEventId·timestamp·replyToken·message.id는 원본과 동일. 도착 시각·간격을 기록(Q09)</t>
        </is>
      </c>
      <c r="M81" s="6" t="inlineStr">
        <is>
          <t>Q09</t>
        </is>
      </c>
      <c r="N81" s="13" t="n"/>
      <c r="O81" s="14" t="n"/>
      <c r="P81" s="13" t="n"/>
      <c r="Q81" s="13" t="n"/>
      <c r="R81" s="13" t="n"/>
      <c r="S81" s="13" t="n"/>
      <c r="T81" s="12" t="n"/>
    </row>
    <row r="82" ht="94" customHeight="1">
      <c r="A82" s="6" t="inlineStr">
        <is>
          <t>TC-WHS-006</t>
        </is>
      </c>
      <c r="B82" s="6" t="inlineStr">
        <is>
          <t>웹훅 설정·재전송</t>
        </is>
      </c>
      <c r="C82" s="6" t="inlineStr">
        <is>
          <t>중복 제거(webhookEventId)</t>
        </is>
      </c>
      <c r="D82" s="6" t="inlineStr">
        <is>
          <t>REQ-16</t>
        </is>
      </c>
      <c r="E82" s="6" t="inlineStr">
        <is>
          <t>요구사항</t>
        </is>
      </c>
      <c r="F82" s="6" t="inlineStr">
        <is>
          <t>무발송</t>
        </is>
      </c>
      <c r="G82" s="6" t="inlineStr">
        <is>
          <t>API</t>
        </is>
      </c>
      <c r="H82" s="6" t="inlineStr">
        <is>
          <t>P1</t>
        </is>
      </c>
      <c r="I82" s="12" t="inlineStr">
        <is>
          <t>B1이 webhookEventId를 저장소(TTL 24h)에 기록하고 중복이면 건너뛰는 로직 구현</t>
        </is>
      </c>
      <c r="J82" s="12" t="inlineStr">
        <is>
          <t>1. TC-WHS-005 절차로 원본(500)·재전송(200) 수신
2. 저장한 유효 웹훅을 같은 서명으로 B1에 2회 로컬 재전송
3. 처리 결과(DB 레코드·reply 횟수) 확인</t>
        </is>
      </c>
      <c r="K82" s="12" t="inlineStr">
        <is>
          <t>동일 이벤트 중복</t>
        </is>
      </c>
      <c r="L82" s="12" t="inlineStr">
        <is>
          <t>3. 같은 webhookEventId는 1회만 처리되고 나머지는 200만 반환한다(멱등 수신)</t>
        </is>
      </c>
      <c r="M82" s="6" t="inlineStr"/>
      <c r="N82" s="13" t="n"/>
      <c r="O82" s="14" t="n"/>
      <c r="P82" s="13" t="n"/>
      <c r="Q82" s="13" t="n"/>
      <c r="R82" s="13" t="n"/>
      <c r="S82" s="13" t="n"/>
      <c r="T82" s="12" t="n"/>
    </row>
    <row r="83" ht="109" customHeight="1">
      <c r="A83" s="6" t="inlineStr">
        <is>
          <t>TC-WHS-007</t>
        </is>
      </c>
      <c r="B83" s="6" t="inlineStr">
        <is>
          <t>웹훅 설정·재전송</t>
        </is>
      </c>
      <c r="C83" s="6" t="inlineStr">
        <is>
          <t>순서 역전 처리</t>
        </is>
      </c>
      <c r="D83" s="6" t="inlineStr">
        <is>
          <t>REQ-16</t>
        </is>
      </c>
      <c r="E83" s="6" t="inlineStr">
        <is>
          <t>리스크 기반</t>
        </is>
      </c>
      <c r="F83" s="6" t="inlineStr">
        <is>
          <t>무발송</t>
        </is>
      </c>
      <c r="G83" s="6" t="inlineStr">
        <is>
          <t>수동</t>
        </is>
      </c>
      <c r="H83" s="6" t="inlineStr">
        <is>
          <t>P2</t>
        </is>
      </c>
      <c r="I83" s="12" t="inlineStr">
        <is>
          <t>재전송 ON, B1을 '첫 요청만 500' 모드</t>
        </is>
      </c>
      <c r="J83" s="12" t="inlineStr">
        <is>
          <t>1. U1이 'first' 전송 → B1 500
2. 즉시 U1이 'second' 전송 → B1 200
3. 'first' 재전송 도착
4. B1의 대화 상태(마지막 메시지)가 어떻게 기록됐는지 확인</t>
        </is>
      </c>
      <c r="K83" s="12" t="inlineStr">
        <is>
          <t>first/second</t>
        </is>
      </c>
      <c r="L83" s="12" t="inlineStr">
        <is>
          <t>4. 봇서버가 timestamp 기준으로 정렬해 'second'를 최신으로 유지한다(도착 순서로 덮어쓰면 결함). 재전송의 timestamp는 원 발생 시각이다</t>
        </is>
      </c>
      <c r="M83" s="6" t="inlineStr"/>
      <c r="N83" s="13" t="n"/>
      <c r="O83" s="14" t="n"/>
      <c r="P83" s="13" t="n"/>
      <c r="Q83" s="13" t="n"/>
      <c r="R83" s="13" t="n"/>
      <c r="S83" s="13" t="n"/>
      <c r="T83" s="12" t="n"/>
    </row>
    <row r="84" ht="64" customHeight="1">
      <c r="A84" s="6" t="inlineStr">
        <is>
          <t>TC-RLM-001</t>
        </is>
      </c>
      <c r="B84" s="6" t="inlineStr">
        <is>
          <t>레이트리밋·쿼터</t>
        </is>
      </c>
      <c r="C84" s="6" t="inlineStr">
        <is>
          <t>429 응답 계약(모의)</t>
        </is>
      </c>
      <c r="D84" s="6" t="inlineStr">
        <is>
          <t>REQ-18, REQ-05</t>
        </is>
      </c>
      <c r="E84" s="6" t="inlineStr">
        <is>
          <t>리스크 기반</t>
        </is>
      </c>
      <c r="F84" s="6" t="inlineStr">
        <is>
          <t>무발송</t>
        </is>
      </c>
      <c r="G84" s="6" t="inlineStr">
        <is>
          <t>API</t>
        </is>
      </c>
      <c r="H84" s="6" t="inlineStr">
        <is>
          <t>P1</t>
        </is>
      </c>
      <c r="I84" s="12" t="inlineStr">
        <is>
          <t>가이드라인상 실플랫폼 한도 초과 금지 → MK1이 N번째 요청부터 429를 반환</t>
        </is>
      </c>
      <c r="J84" s="12" t="inlineStr">
        <is>
          <t>1. 클라이언트로 push를 연속 호출(MK1)
2. 429 응답의 상태·본문·헤더 기록
3. 클라이언트 동작 확인</t>
        </is>
      </c>
      <c r="K84" s="12" t="inlineStr">
        <is>
          <t>MK1 429(message='The API rate limit has been exceeded. Try again later.')</t>
        </is>
      </c>
      <c r="L84" s="12" t="inlineStr">
        <is>
          <t>2. 429, message 일치
3. 클라이언트가 즉시 재시도하지 않고 백오프(지수, 지터)로 대기 후 재개하며 메시지를 유실하지 않는다(큐 보존)</t>
        </is>
      </c>
      <c r="M84" s="6" t="inlineStr">
        <is>
          <t>Q08</t>
        </is>
      </c>
      <c r="N84" s="13" t="n"/>
      <c r="O84" s="14" t="n"/>
      <c r="P84" s="13" t="n"/>
      <c r="Q84" s="13" t="n"/>
      <c r="R84" s="13" t="n"/>
      <c r="S84" s="13" t="n"/>
      <c r="T84" s="12" t="n"/>
    </row>
    <row r="85" ht="109" customHeight="1">
      <c r="A85" s="6" t="inlineStr">
        <is>
          <t>TC-RLM-002</t>
        </is>
      </c>
      <c r="B85" s="6" t="inlineStr">
        <is>
          <t>레이트리밋·쿼터</t>
        </is>
      </c>
      <c r="C85" s="6" t="inlineStr">
        <is>
          <t>낮은 한도 엔드포인트 1회 관찰</t>
        </is>
      </c>
      <c r="D85" s="6" t="inlineStr">
        <is>
          <t>REQ-18</t>
        </is>
      </c>
      <c r="E85" s="6" t="inlineStr">
        <is>
          <t>요구사항</t>
        </is>
      </c>
      <c r="F85" s="6" t="inlineStr">
        <is>
          <t>장기·한도</t>
        </is>
      </c>
      <c r="G85" s="6" t="inlineStr">
        <is>
          <t>수동</t>
        </is>
      </c>
      <c r="H85" s="6" t="inlineStr">
        <is>
          <t>P2</t>
        </is>
      </c>
      <c r="I85" s="12" t="inlineStr">
        <is>
          <t>T1, webhook test(60 req/h) 사용량 0</t>
        </is>
      </c>
      <c r="J85" s="12" t="inlineStr">
        <is>
          <t>1. POST /v2/bot/channel/webhook/test(endpoint=B1)를 1초 간격으로 60회
2. 61번째 1회만 호출 후 즉시 중단
3. 응답 헤더(Retry-After 유무)·본문 기록
4. 1시간 후 1회 호출</t>
        </is>
      </c>
      <c r="K85" s="12" t="inlineStr">
        <is>
          <t>61회 + 1회</t>
        </is>
      </c>
      <c r="L85" s="12" t="inlineStr">
        <is>
          <t>1. 60회 200
2. 61번째 429(Q08: 헤더·details 기록)
4. 200(버킷 회복)
※ 초과 요청은 1회로 제한(가이드라인 준수)</t>
        </is>
      </c>
      <c r="M85" s="6" t="inlineStr">
        <is>
          <t>Q08</t>
        </is>
      </c>
      <c r="N85" s="13" t="n"/>
      <c r="O85" s="14" t="n"/>
      <c r="P85" s="13" t="n"/>
      <c r="Q85" s="13" t="n"/>
      <c r="R85" s="13" t="n"/>
      <c r="S85" s="13" t="n"/>
      <c r="T85" s="12" t="n"/>
    </row>
    <row r="86" ht="79" customHeight="1">
      <c r="A86" s="6" t="inlineStr">
        <is>
          <t>TC-RLM-003</t>
        </is>
      </c>
      <c r="B86" s="6" t="inlineStr">
        <is>
          <t>레이트리밋·쿼터</t>
        </is>
      </c>
      <c r="C86" s="6" t="inlineStr">
        <is>
          <t>채널·메서드 단위 분리</t>
        </is>
      </c>
      <c r="D86" s="6" t="inlineStr">
        <is>
          <t>REQ-18</t>
        </is>
      </c>
      <c r="E86" s="6" t="inlineStr">
        <is>
          <t>요구사항</t>
        </is>
      </c>
      <c r="F86" s="6" t="inlineStr">
        <is>
          <t>무발송</t>
        </is>
      </c>
      <c r="G86" s="6" t="inlineStr">
        <is>
          <t>API</t>
        </is>
      </c>
      <c r="H86" s="6" t="inlineStr">
        <is>
          <t>P3</t>
        </is>
      </c>
      <c r="I86" s="12" t="inlineStr">
        <is>
          <t>MK1 또는 사내 환경(실플랫폼은 Q08 관찰값으로 대체)</t>
        </is>
      </c>
      <c r="J86" s="12" t="inlineStr">
        <is>
          <t>1. GET /v2/bot/channel/webhook/endpoint를 한도 근처까지 호출한 뒤 PUT 같은 경로 호출
2. 같은 엔드포인트를 다른 채널(CH2) 토큰으로 호출</t>
        </is>
      </c>
      <c r="K86" s="12" t="inlineStr">
        <is>
          <t>GET/PUT, CH1/CH2</t>
        </is>
      </c>
      <c r="L86" s="12" t="inlineStr">
        <is>
          <t>1. GET 한도 소진이 PUT에 영향을 주지 않는다(메서드별 별개)
2. CH2는 영향 없음(채널별 독립)</t>
        </is>
      </c>
      <c r="M86" s="6" t="inlineStr"/>
      <c r="N86" s="13" t="n"/>
      <c r="O86" s="14" t="n"/>
      <c r="P86" s="13" t="n"/>
      <c r="Q86" s="13" t="n"/>
      <c r="R86" s="13" t="n"/>
      <c r="S86" s="13" t="n"/>
      <c r="T86" s="12" t="n"/>
    </row>
    <row r="87" ht="79" customHeight="1">
      <c r="A87" s="6" t="inlineStr">
        <is>
          <t>TC-RLM-004</t>
        </is>
      </c>
      <c r="B87" s="6" t="inlineStr">
        <is>
          <t>레이트리밋·쿼터</t>
        </is>
      </c>
      <c r="C87" s="6" t="inlineStr">
        <is>
          <t>월 한도·사용량 조회</t>
        </is>
      </c>
      <c r="D87" s="6" t="inlineStr">
        <is>
          <t>REQ-18</t>
        </is>
      </c>
      <c r="E87" s="6" t="inlineStr">
        <is>
          <t>요구사항</t>
        </is>
      </c>
      <c r="F87" s="6" t="inlineStr">
        <is>
          <t>무발송</t>
        </is>
      </c>
      <c r="G87" s="6" t="inlineStr">
        <is>
          <t>API</t>
        </is>
      </c>
      <c r="H87" s="6" t="inlineStr">
        <is>
          <t>P2</t>
        </is>
      </c>
      <c r="I87" s="12" t="inlineStr">
        <is>
          <t>T1</t>
        </is>
      </c>
      <c r="J87" s="12" t="inlineStr">
        <is>
          <t>1. GET /v2/bot/message/quota
2. GET /v2/bot/message/quota/consumption
3. push 1건 후 2 재조회</t>
        </is>
      </c>
      <c r="K87" s="12" t="inlineStr">
        <is>
          <t>쿼터 API</t>
        </is>
      </c>
      <c r="L87" s="12" t="inlineStr">
        <is>
          <t>1. 200, type ∈ {none, limited}; limited면 value(숫자)
2. 200, totalUsage(정수)
3. totalUsage가 1 증가(근사치이므로 수 분 지연 허용)</t>
        </is>
      </c>
      <c r="M87" s="6" t="inlineStr"/>
      <c r="N87" s="13" t="n"/>
      <c r="O87" s="14" t="n"/>
      <c r="P87" s="13" t="n"/>
      <c r="Q87" s="13" t="n"/>
      <c r="R87" s="13" t="n"/>
      <c r="S87" s="13" t="n"/>
      <c r="T87" s="12" t="n"/>
    </row>
    <row r="88" ht="64" customHeight="1">
      <c r="A88" s="6" t="inlineStr">
        <is>
          <t>TC-RLM-005</t>
        </is>
      </c>
      <c r="B88" s="6" t="inlineStr">
        <is>
          <t>레이트리밋·쿼터</t>
        </is>
      </c>
      <c r="C88" s="6" t="inlineStr">
        <is>
          <t>월 한도 초과 429(모의)</t>
        </is>
      </c>
      <c r="D88" s="6" t="inlineStr">
        <is>
          <t>REQ-18</t>
        </is>
      </c>
      <c r="E88" s="6" t="inlineStr">
        <is>
          <t>리스크 기반</t>
        </is>
      </c>
      <c r="F88" s="6" t="inlineStr">
        <is>
          <t>무발송</t>
        </is>
      </c>
      <c r="G88" s="6" t="inlineStr">
        <is>
          <t>API</t>
        </is>
      </c>
      <c r="H88" s="6" t="inlineStr">
        <is>
          <t>P2</t>
        </is>
      </c>
      <c r="I88" s="12" t="inlineStr">
        <is>
          <t>MK1이 429 + message='You have reached your monthly limit.'을 반환</t>
        </is>
      </c>
      <c r="J88" s="12" t="inlineStr">
        <is>
          <t>1. 클라이언트 push 호출(MK1)
2. 클라이언트의 분류 확인</t>
        </is>
      </c>
      <c r="K88" s="12" t="inlineStr">
        <is>
          <t>MK1 월 한도 429</t>
        </is>
      </c>
      <c r="L88" s="12" t="inlineStr">
        <is>
          <t>2. 레이트리밋 429와 구분해 '한도 초과'로 분류하고 백오프 재시도 대신 운영 알림·발송 중단 처리한다(재시도해도 해결되지 않음)</t>
        </is>
      </c>
      <c r="M88" s="6" t="inlineStr">
        <is>
          <t>Q08</t>
        </is>
      </c>
      <c r="N88" s="13" t="n"/>
      <c r="O88" s="14" t="n"/>
      <c r="P88" s="13" t="n"/>
      <c r="Q88" s="13" t="n"/>
      <c r="R88" s="13" t="n"/>
      <c r="S88" s="13" t="n"/>
      <c r="T88" s="12" t="n"/>
    </row>
    <row r="89" ht="49" customHeight="1">
      <c r="A89" s="6" t="inlineStr">
        <is>
          <t>TC-RLM-006</t>
        </is>
      </c>
      <c r="B89" s="6" t="inlineStr">
        <is>
          <t>레이트리밋·쿼터</t>
        </is>
      </c>
      <c r="C89" s="6" t="inlineStr">
        <is>
          <t>재시도도 한도에 집계</t>
        </is>
      </c>
      <c r="D89" s="6" t="inlineStr">
        <is>
          <t>REQ-18, REQ-11</t>
        </is>
      </c>
      <c r="E89" s="6" t="inlineStr">
        <is>
          <t>리스크 기반</t>
        </is>
      </c>
      <c r="F89" s="6" t="inlineStr">
        <is>
          <t>무발송</t>
        </is>
      </c>
      <c r="G89" s="6" t="inlineStr">
        <is>
          <t>API</t>
        </is>
      </c>
      <c r="H89" s="6" t="inlineStr">
        <is>
          <t>P3</t>
        </is>
      </c>
      <c r="I89" s="12" t="inlineStr">
        <is>
          <t>MK1 요청 카운터</t>
        </is>
      </c>
      <c r="J89" s="12" t="inlineStr">
        <is>
          <t>1. MK1이 500 2회 후 200을 반환하도록 설정하고 push 1회 호출
2. MK1의 수신 요청 수 확인</t>
        </is>
      </c>
      <c r="K89" s="12" t="inlineStr">
        <is>
          <t>500×2 → 200</t>
        </is>
      </c>
      <c r="L89" s="12" t="inlineStr">
        <is>
          <t>2. 3회로 집계된다. 클라이언트 백오프 간격이 한도(2,000 req/s 등)를 넘지 않도록 설계됐는지 확인</t>
        </is>
      </c>
      <c r="M89" s="6" t="inlineStr"/>
      <c r="N89" s="13" t="n"/>
      <c r="O89" s="14" t="n"/>
      <c r="P89" s="13" t="n"/>
      <c r="Q89" s="13" t="n"/>
      <c r="R89" s="13" t="n"/>
      <c r="S89" s="13" t="n"/>
      <c r="T89" s="12" t="n"/>
    </row>
    <row r="90" ht="49" customHeight="1">
      <c r="A90" s="6" t="inlineStr">
        <is>
          <t>TC-PGN-001</t>
        </is>
      </c>
      <c r="B90" s="6" t="inlineStr">
        <is>
          <t>조회·페이지네이션</t>
        </is>
      </c>
      <c r="C90" s="6" t="inlineStr">
        <is>
          <t>followers 기본 페이지</t>
        </is>
      </c>
      <c r="D90" s="6" t="inlineStr">
        <is>
          <t>REQ-19</t>
        </is>
      </c>
      <c r="E90" s="6" t="inlineStr">
        <is>
          <t>요구사항</t>
        </is>
      </c>
      <c r="F90" s="6" t="inlineStr">
        <is>
          <t>무발송</t>
        </is>
      </c>
      <c r="G90" s="6" t="inlineStr">
        <is>
          <t>API</t>
        </is>
      </c>
      <c r="H90" s="6" t="inlineStr">
        <is>
          <t>P2</t>
        </is>
      </c>
      <c r="I90" s="12" t="inlineStr">
        <is>
          <t>CH1이 verified/premium 계정(아니면 Blocked), 친구 3명</t>
        </is>
      </c>
      <c r="J90" s="12" t="inlineStr">
        <is>
          <t>1. GET /v2/bot/followers/ids (limit 미지정)
2. 응답 확인</t>
        </is>
      </c>
      <c r="K90" s="12" t="inlineStr">
        <is>
          <t>친구 3명</t>
        </is>
      </c>
      <c r="L90" s="12" t="inlineStr">
        <is>
          <t>1. 200, userIds 배열(≤300), next 없음(남은 ID 없음)
2. 각 ID가 U[0-9a-f]{32} 형식</t>
        </is>
      </c>
      <c r="M90" s="6" t="inlineStr"/>
      <c r="N90" s="13" t="n"/>
      <c r="O90" s="14" t="n"/>
      <c r="P90" s="13" t="n"/>
      <c r="Q90" s="13" t="n"/>
      <c r="R90" s="13" t="n"/>
      <c r="S90" s="13" t="n"/>
      <c r="T90" s="12" t="n"/>
    </row>
    <row r="91" ht="94" customHeight="1">
      <c r="A91" s="6" t="inlineStr">
        <is>
          <t>TC-PGN-002</t>
        </is>
      </c>
      <c r="B91" s="6" t="inlineStr">
        <is>
          <t>조회·페이지네이션</t>
        </is>
      </c>
      <c r="C91" s="6" t="inlineStr">
        <is>
          <t>limit 경계</t>
        </is>
      </c>
      <c r="D91" s="6" t="inlineStr">
        <is>
          <t>REQ-19</t>
        </is>
      </c>
      <c r="E91" s="6" t="inlineStr">
        <is>
          <t>요구사항</t>
        </is>
      </c>
      <c r="F91" s="6" t="inlineStr">
        <is>
          <t>무발송</t>
        </is>
      </c>
      <c r="G91" s="6" t="inlineStr">
        <is>
          <t>API</t>
        </is>
      </c>
      <c r="H91" s="6" t="inlineStr">
        <is>
          <t>P2</t>
        </is>
      </c>
      <c r="I91" s="12" t="inlineStr">
        <is>
          <t>verified 계정</t>
        </is>
      </c>
      <c r="J91" s="12" t="inlineStr">
        <is>
          <t>1. limit=1
2. limit=1000
3. limit=1001
4. limit=0
5. limit=-1
6. limit=abc</t>
        </is>
      </c>
      <c r="K91" s="12" t="inlineStr">
        <is>
          <t>limit 6종</t>
        </is>
      </c>
      <c r="L91" s="12" t="inlineStr">
        <is>
          <t>1. 200, userIds 1개, 남은 ID가 있으면 next 포함
2. 200
3~6. 400 예상 — 현재 동작(보정 여부) 기록(Q10)</t>
        </is>
      </c>
      <c r="M91" s="6" t="inlineStr">
        <is>
          <t>Q10</t>
        </is>
      </c>
      <c r="N91" s="13" t="n"/>
      <c r="O91" s="14" t="n"/>
      <c r="P91" s="13" t="n"/>
      <c r="Q91" s="13" t="n"/>
      <c r="R91" s="13" t="n"/>
      <c r="S91" s="13" t="n"/>
      <c r="T91" s="12" t="n"/>
    </row>
    <row r="92" ht="94" customHeight="1">
      <c r="A92" s="6" t="inlineStr">
        <is>
          <t>TC-PGN-003</t>
        </is>
      </c>
      <c r="B92" s="6" t="inlineStr">
        <is>
          <t>조회·페이지네이션</t>
        </is>
      </c>
      <c r="C92" s="6" t="inlineStr">
        <is>
          <t>next 순회 완전성</t>
        </is>
      </c>
      <c r="D92" s="6" t="inlineStr">
        <is>
          <t>REQ-19</t>
        </is>
      </c>
      <c r="E92" s="6" t="inlineStr">
        <is>
          <t>리스크 기반</t>
        </is>
      </c>
      <c r="F92" s="6" t="inlineStr">
        <is>
          <t>무발송</t>
        </is>
      </c>
      <c r="G92" s="6" t="inlineStr">
        <is>
          <t>API</t>
        </is>
      </c>
      <c r="H92" s="6" t="inlineStr">
        <is>
          <t>P1</t>
        </is>
      </c>
      <c r="I92" s="12" t="inlineStr">
        <is>
          <t>verified 계정, 친구 ≥ 3</t>
        </is>
      </c>
      <c r="J92" s="12" t="inlineStr">
        <is>
          <t>1. limit=1로 호출 → userIds·next 저장
2. next가 없을 때까지 start=next로 반복
3. 수집한 ID 합집합과 limit=1000 단일 호출 결과 비교</t>
        </is>
      </c>
      <c r="K92" s="12" t="inlineStr">
        <is>
          <t>limit=1 순회</t>
        </is>
      </c>
      <c r="L92" s="12" t="inlineStr">
        <is>
          <t>2. 마지막 페이지에는 next가 없다
3. ID 집합이 동일하고 중복·누락이 없다</t>
        </is>
      </c>
      <c r="M92" s="6" t="inlineStr"/>
      <c r="N92" s="13" t="n"/>
      <c r="O92" s="14" t="n"/>
      <c r="P92" s="13" t="n"/>
      <c r="Q92" s="13" t="n"/>
      <c r="R92" s="13" t="n"/>
      <c r="S92" s="13" t="n"/>
      <c r="T92" s="12" t="n"/>
    </row>
    <row r="93" ht="64" customHeight="1">
      <c r="A93" s="6" t="inlineStr">
        <is>
          <t>TC-PGN-004</t>
        </is>
      </c>
      <c r="B93" s="6" t="inlineStr">
        <is>
          <t>조회·페이지네이션</t>
        </is>
      </c>
      <c r="C93" s="6" t="inlineStr">
        <is>
          <t>continuation token 오류</t>
        </is>
      </c>
      <c r="D93" s="6" t="inlineStr">
        <is>
          <t>REQ-19</t>
        </is>
      </c>
      <c r="E93" s="6" t="inlineStr">
        <is>
          <t>요구사항</t>
        </is>
      </c>
      <c r="F93" s="6" t="inlineStr">
        <is>
          <t>장기·한도</t>
        </is>
      </c>
      <c r="G93" s="6" t="inlineStr">
        <is>
          <t>수동</t>
        </is>
      </c>
      <c r="H93" s="6" t="inlineStr">
        <is>
          <t>P2</t>
        </is>
      </c>
      <c r="I93" s="12" t="inlineStr">
        <is>
          <t>TC-PGN-003의 next 토큰 1개 저장(시각 기록)</t>
        </is>
      </c>
      <c r="J93" s="12" t="inlineStr">
        <is>
          <t>1. start='invalid'
2. start=토큰 1자 변경
3. (장기) 24시간 10분 후 저장한 토큰으로 호출</t>
        </is>
      </c>
      <c r="K93" s="12" t="inlineStr">
        <is>
          <t>토큰 변형 + 만료</t>
        </is>
      </c>
      <c r="L93" s="12" t="inlineStr">
        <is>
          <t>1~2. 400(무효 continuation token)
3. 400(만료)</t>
        </is>
      </c>
      <c r="M93" s="6" t="inlineStr">
        <is>
          <t>Q10</t>
        </is>
      </c>
      <c r="N93" s="13" t="n"/>
      <c r="O93" s="14" t="n"/>
      <c r="P93" s="13" t="n"/>
      <c r="Q93" s="13" t="n"/>
      <c r="R93" s="13" t="n"/>
      <c r="S93" s="13" t="n"/>
      <c r="T93" s="12" t="n"/>
    </row>
    <row r="94" ht="64" customHeight="1">
      <c r="A94" s="6" t="inlineStr">
        <is>
          <t>TC-PGN-005</t>
        </is>
      </c>
      <c r="B94" s="6" t="inlineStr">
        <is>
          <t>조회·페이지네이션</t>
        </is>
      </c>
      <c r="C94" s="6" t="inlineStr">
        <is>
          <t>미인증 계정 403</t>
        </is>
      </c>
      <c r="D94" s="6" t="inlineStr">
        <is>
          <t>REQ-19, REQ-01</t>
        </is>
      </c>
      <c r="E94" s="6" t="inlineStr">
        <is>
          <t>요구사항</t>
        </is>
      </c>
      <c r="F94" s="6" t="inlineStr">
        <is>
          <t>무발송</t>
        </is>
      </c>
      <c r="G94" s="6" t="inlineStr">
        <is>
          <t>API</t>
        </is>
      </c>
      <c r="H94" s="6" t="inlineStr">
        <is>
          <t>P2</t>
        </is>
      </c>
      <c r="I94" s="12" t="inlineStr">
        <is>
          <t>verified가 아닌 일반 계정 채널 CH2</t>
        </is>
      </c>
      <c r="J94" s="12" t="inlineStr">
        <is>
          <t>1. CH2 토큰으로 GET /v2/bot/followers/ids</t>
        </is>
      </c>
      <c r="K94" s="12" t="inlineStr">
        <is>
          <t>CH2</t>
        </is>
      </c>
      <c r="L94" s="12" t="inlineStr">
        <is>
          <t>1. 403, message에 권한 안내('Access to this API is not available for your account' 계열)</t>
        </is>
      </c>
      <c r="M94" s="6" t="inlineStr"/>
      <c r="N94" s="13" t="n"/>
      <c r="O94" s="14" t="n"/>
      <c r="P94" s="13" t="n"/>
      <c r="Q94" s="13" t="n"/>
      <c r="R94" s="13" t="n"/>
      <c r="S94" s="13" t="n"/>
      <c r="T94" s="12" t="n"/>
    </row>
    <row r="95" ht="124" customHeight="1">
      <c r="A95" s="6" t="inlineStr">
        <is>
          <t>TC-PGN-006</t>
        </is>
      </c>
      <c r="B95" s="6" t="inlineStr">
        <is>
          <t>조회·페이지네이션</t>
        </is>
      </c>
      <c r="C95" s="6" t="inlineStr">
        <is>
          <t>프로필 조회</t>
        </is>
      </c>
      <c r="D95" s="6" t="inlineStr">
        <is>
          <t>REQ-20</t>
        </is>
      </c>
      <c r="E95" s="6" t="inlineStr">
        <is>
          <t>요구사항</t>
        </is>
      </c>
      <c r="F95" s="6" t="inlineStr">
        <is>
          <t>무발송</t>
        </is>
      </c>
      <c r="G95" s="6" t="inlineStr">
        <is>
          <t>API</t>
        </is>
      </c>
      <c r="H95" s="6" t="inlineStr">
        <is>
          <t>P1</t>
        </is>
      </c>
      <c r="I95" s="12" t="inlineStr">
        <is>
          <t>U1 친구·프로필 동의, U2 차단, U3 미친구(메시지 보냄)</t>
        </is>
      </c>
      <c r="J95" s="12" t="inlineStr">
        <is>
          <t>1. GET /v2/bot/profile/{U1}
2. GET /v2/bot/profile/{U2}
3. GET /v2/bot/profile/{U3}
4. userId='abc'
5. 존재하지 않는 형식 유효 ID 1회</t>
        </is>
      </c>
      <c r="K95" s="12" t="inlineStr">
        <is>
          <t>U1/U2/U3/형식 오류/미존재</t>
        </is>
      </c>
      <c r="L95" s="12" t="inlineStr">
        <is>
          <t>1. 200, displayName·userId 필수, language·pictureUrl·statusMessage는 조건부(없어도 통과)
2. 404 'Not found'(차단)
3. 200(메시지를 보낸 미친구)
4. 400
5. 404</t>
        </is>
      </c>
      <c r="M95" s="6" t="inlineStr"/>
      <c r="N95" s="13" t="n"/>
      <c r="O95" s="14" t="n"/>
      <c r="P95" s="13" t="n"/>
      <c r="Q95" s="13" t="n"/>
      <c r="R95" s="13" t="n"/>
      <c r="S95" s="13" t="n"/>
      <c r="T95" s="12" t="n"/>
    </row>
    <row r="96" ht="124" customHeight="1">
      <c r="A96" s="6" t="inlineStr">
        <is>
          <t>TC-PGN-007</t>
        </is>
      </c>
      <c r="B96" s="6" t="inlineStr">
        <is>
          <t>조회·페이지네이션</t>
        </is>
      </c>
      <c r="C96" s="6" t="inlineStr">
        <is>
          <t>콘텐츠 조회 상태</t>
        </is>
      </c>
      <c r="D96" s="6" t="inlineStr">
        <is>
          <t>REQ-20</t>
        </is>
      </c>
      <c r="E96" s="6" t="inlineStr">
        <is>
          <t>요구사항</t>
        </is>
      </c>
      <c r="F96" s="6" t="inlineStr">
        <is>
          <t>무발송</t>
        </is>
      </c>
      <c r="G96" s="6" t="inlineStr">
        <is>
          <t>UI</t>
        </is>
      </c>
      <c r="H96" s="6" t="inlineStr">
        <is>
          <t>P2</t>
        </is>
      </c>
      <c r="I96" s="12" t="inlineStr">
        <is>
          <t>U1이 봇에 이미지·대용량 동영상 전송, messageId 확보</t>
        </is>
      </c>
      <c r="J96" s="12" t="inlineStr">
        <is>
          <t>1. GET api-data…/{이미지 ID}/content
2. 동영상 전송 직후 GET …/{동영상 ID}/content, GET …/content/transcoding
3. U1이 이미지 메시지를 전송 취소 후 1 재호출
4. 존재하지 않는 messageId</t>
        </is>
      </c>
      <c r="K96" s="12" t="inlineStr">
        <is>
          <t>이미지/동영상/취소/미존재</t>
        </is>
      </c>
      <c r="L96" s="12" t="inlineStr">
        <is>
          <t>1. 200, Content-Type image/*
2. 준비 중이면 202, transcoding 응답 status ∈ {processing, succeeded, failed}; succeeded 후 200
3. 410 Gone
4. 404</t>
        </is>
      </c>
      <c r="M96" s="6" t="inlineStr"/>
      <c r="N96" s="13" t="n"/>
      <c r="O96" s="14" t="n"/>
      <c r="P96" s="13" t="n"/>
      <c r="Q96" s="13" t="n"/>
      <c r="R96" s="13" t="n"/>
      <c r="S96" s="13" t="n"/>
      <c r="T96" s="12" t="n"/>
    </row>
    <row r="97" ht="124" customHeight="1">
      <c r="A97" s="6" t="inlineStr">
        <is>
          <t>TC-PGN-008</t>
        </is>
      </c>
      <c r="B97" s="6" t="inlineStr">
        <is>
          <t>조회·페이지네이션</t>
        </is>
      </c>
      <c r="C97" s="6" t="inlineStr">
        <is>
          <t>로딩 애니메이션 파라미터</t>
        </is>
      </c>
      <c r="D97" s="6" t="inlineStr">
        <is>
          <t>REQ-21</t>
        </is>
      </c>
      <c r="E97" s="6" t="inlineStr">
        <is>
          <t>요구사항</t>
        </is>
      </c>
      <c r="F97" s="6" t="inlineStr">
        <is>
          <t>무발송</t>
        </is>
      </c>
      <c r="G97" s="6" t="inlineStr">
        <is>
          <t>UI</t>
        </is>
      </c>
      <c r="H97" s="6" t="inlineStr">
        <is>
          <t>P3</t>
        </is>
      </c>
      <c r="I97" s="12" t="inlineStr">
        <is>
          <t>U1이 봇 채팅방을 열어 둠</t>
        </is>
      </c>
      <c r="J97" s="12" t="inlineStr">
        <is>
          <t>1. POST /v2/bot/chat/loading/start {chatId:U1, loadingSeconds:5}
2. loadingSeconds=60
3. loadingSeconds=7
4. loadingSeconds=65
5. chatId=G1 groupId
6. loadingSeconds 생략</t>
        </is>
      </c>
      <c r="K97" s="12" t="inlineStr">
        <is>
          <t>초 변형</t>
        </is>
      </c>
      <c r="L97" s="12" t="inlineStr">
        <is>
          <t>1~2, 6. 202 '{}', U1 화면에 애니메이션 표시(6은 20초)
3~5. 400</t>
        </is>
      </c>
      <c r="M97" s="6" t="inlineStr"/>
      <c r="N97" s="13" t="n"/>
      <c r="O97" s="14" t="n"/>
      <c r="P97" s="13" t="n"/>
      <c r="Q97" s="13" t="n"/>
      <c r="R97" s="13" t="n"/>
      <c r="S97" s="13" t="n"/>
      <c r="T97" s="12" t="n"/>
    </row>
    <row r="98" ht="109" customHeight="1">
      <c r="A98" s="6" t="inlineStr">
        <is>
          <t>TC-SEC-001</t>
        </is>
      </c>
      <c r="B98" s="6" t="inlineStr">
        <is>
          <t>보안·운영</t>
        </is>
      </c>
      <c r="C98" s="6" t="inlineStr">
        <is>
          <t>long-lived 재발급 무효화</t>
        </is>
      </c>
      <c r="D98" s="6" t="inlineStr">
        <is>
          <t>REQ-02</t>
        </is>
      </c>
      <c r="E98" s="6" t="inlineStr">
        <is>
          <t>요구사항</t>
        </is>
      </c>
      <c r="F98" s="6" t="inlineStr">
        <is>
          <t>무발송</t>
        </is>
      </c>
      <c r="G98" s="6" t="inlineStr">
        <is>
          <t>UI</t>
        </is>
      </c>
      <c r="H98" s="6" t="inlineStr">
        <is>
          <t>P1</t>
        </is>
      </c>
      <c r="I98" s="12" t="inlineStr">
        <is>
          <t>콘솔 Admin 권한, 현재 long-lived 토큰 T1</t>
        </is>
      </c>
      <c r="J98" s="12" t="inlineStr">
        <is>
          <t>1. T1으로 GET /v2/bot/info → 200
2. 콘솔 Messaging API 탭에서 long-lived 토큰 재발급(유효기간 연장 0시간)
3. 즉시 T1으로 재호출
4. 새 토큰으로 호출</t>
        </is>
      </c>
      <c r="K98" s="12" t="inlineStr">
        <is>
          <t>T1 → T1'</t>
        </is>
      </c>
      <c r="L98" s="12" t="inlineStr">
        <is>
          <t>3. 401(기존 토큰 무효)
4. 200</t>
        </is>
      </c>
      <c r="M98" s="6" t="inlineStr"/>
      <c r="N98" s="13" t="n"/>
      <c r="O98" s="14" t="n"/>
      <c r="P98" s="13" t="n"/>
      <c r="Q98" s="13" t="n"/>
      <c r="R98" s="13" t="n"/>
      <c r="S98" s="13" t="n"/>
      <c r="T98" s="12" t="n"/>
    </row>
    <row r="99" ht="79" customHeight="1">
      <c r="A99" s="6" t="inlineStr">
        <is>
          <t>TC-SEC-002</t>
        </is>
      </c>
      <c r="B99" s="6" t="inlineStr">
        <is>
          <t>보안·운영</t>
        </is>
      </c>
      <c r="C99" s="6" t="inlineStr">
        <is>
          <t>채널 secret 재발급 영향</t>
        </is>
      </c>
      <c r="D99" s="6" t="inlineStr">
        <is>
          <t>REQ-14</t>
        </is>
      </c>
      <c r="E99" s="6" t="inlineStr">
        <is>
          <t>요구사항</t>
        </is>
      </c>
      <c r="F99" s="6" t="inlineStr">
        <is>
          <t>무발송</t>
        </is>
      </c>
      <c r="G99" s="6" t="inlineStr">
        <is>
          <t>UI</t>
        </is>
      </c>
      <c r="H99" s="6" t="inlineStr">
        <is>
          <t>P1</t>
        </is>
      </c>
      <c r="I99" s="12" t="inlineStr">
        <is>
          <t>B1이 기존 secret으로 서명 검증 중</t>
        </is>
      </c>
      <c r="J99" s="12" t="inlineStr">
        <is>
          <t>1. 콘솔에서 채널 secret 재발급
2. U1 메시지 전송 → B1 검증 결과 확인
3. B1의 secret을 새 값으로 교체 후 재확인</t>
        </is>
      </c>
      <c r="K99" s="12" t="inlineStr">
        <is>
          <t>secret 교체</t>
        </is>
      </c>
      <c r="L99" s="12" t="inlineStr">
        <is>
          <t>2. 서명 불일치로 거부(기존 secret 무효) — 교체 절차 없이 재발급하면 웹훅 전량 유실됨을 확인
3. 검증 성공</t>
        </is>
      </c>
      <c r="M99" s="6" t="inlineStr"/>
      <c r="N99" s="13" t="n"/>
      <c r="O99" s="14" t="n"/>
      <c r="P99" s="13" t="n"/>
      <c r="Q99" s="13" t="n"/>
      <c r="R99" s="13" t="n"/>
      <c r="S99" s="13" t="n"/>
      <c r="T99" s="12" t="n"/>
    </row>
    <row r="100" ht="79" customHeight="1">
      <c r="A100" s="6" t="inlineStr">
        <is>
          <t>TC-SEC-003</t>
        </is>
      </c>
      <c r="B100" s="6" t="inlineStr">
        <is>
          <t>보안·운영</t>
        </is>
      </c>
      <c r="C100" s="6" t="inlineStr">
        <is>
          <t>오류 응답의 민감정보</t>
        </is>
      </c>
      <c r="D100" s="6" t="inlineStr">
        <is>
          <t>REQ-05</t>
        </is>
      </c>
      <c r="E100" s="6" t="inlineStr">
        <is>
          <t>리스크 기반</t>
        </is>
      </c>
      <c r="F100" s="6" t="inlineStr">
        <is>
          <t>무발송</t>
        </is>
      </c>
      <c r="G100" s="6" t="inlineStr">
        <is>
          <t>API</t>
        </is>
      </c>
      <c r="H100" s="6" t="inlineStr">
        <is>
          <t>P2</t>
        </is>
      </c>
      <c r="I100" s="12" t="inlineStr">
        <is>
          <t>T1</t>
        </is>
      </c>
      <c r="J100" s="12" t="inlineStr">
        <is>
          <t>1. TC-AUTH-002·AUTH-009·CMN-003의 오류 응답 본문·헤더 전수 수집
2. 토큰·secret·내부 호스트명·스택 트레이스 문자열 검색</t>
        </is>
      </c>
      <c r="K100" s="12" t="inlineStr">
        <is>
          <t>오류 응답 모음</t>
        </is>
      </c>
      <c r="L100" s="12" t="inlineStr">
        <is>
          <t>2. 토큰·secret 원문, 스택 트레이스, 내부 경로가 포함되지 않는다</t>
        </is>
      </c>
      <c r="M100" s="6" t="inlineStr"/>
      <c r="N100" s="13" t="n"/>
      <c r="O100" s="14" t="n"/>
      <c r="P100" s="13" t="n"/>
      <c r="Q100" s="13" t="n"/>
      <c r="R100" s="13" t="n"/>
      <c r="S100" s="13" t="n"/>
      <c r="T100" s="12" t="n"/>
    </row>
    <row r="101" ht="79" customHeight="1">
      <c r="A101" s="6" t="inlineStr">
        <is>
          <t>TC-SEC-004</t>
        </is>
      </c>
      <c r="B101" s="6" t="inlineStr">
        <is>
          <t>보안·운영</t>
        </is>
      </c>
      <c r="C101" s="6" t="inlineStr">
        <is>
          <t>클라이언트 로그 마스킹</t>
        </is>
      </c>
      <c r="D101" s="6" t="inlineStr">
        <is>
          <t>REQ-22</t>
        </is>
      </c>
      <c r="E101" s="6" t="inlineStr">
        <is>
          <t>추가 검증</t>
        </is>
      </c>
      <c r="F101" s="6" t="inlineStr">
        <is>
          <t>무발송</t>
        </is>
      </c>
      <c r="G101" s="6" t="inlineStr">
        <is>
          <t>API</t>
        </is>
      </c>
      <c r="H101" s="6" t="inlineStr">
        <is>
          <t>P2</t>
        </is>
      </c>
      <c r="I101" s="12" t="inlineStr">
        <is>
          <t>클라이언트(SDK 래퍼) 로그 레벨 DEBUG</t>
        </is>
      </c>
      <c r="J101" s="12" t="inlineStr">
        <is>
          <t>1. push 1회 호출 후 클라이언트 로그 확인
2. 토큰 발급 호출 후 로그 확인</t>
        </is>
      </c>
      <c r="K101" s="12" t="inlineStr">
        <is>
          <t>로그 파일</t>
        </is>
      </c>
      <c r="L101" s="12" t="inlineStr">
        <is>
          <t>1. 로그에 X-Line-Request-Id·시각·메서드·엔드포인트·상태 코드가 남고 Authorization 값은 마스킹된다
2. client_secret·access_token 값이 평문으로 남지 않는다</t>
        </is>
      </c>
      <c r="M101" s="6" t="inlineStr"/>
      <c r="N101" s="13" t="n"/>
      <c r="O101" s="14" t="n"/>
      <c r="P101" s="13" t="n"/>
      <c r="Q101" s="13" t="n"/>
      <c r="R101" s="13" t="n"/>
      <c r="S101" s="13" t="n"/>
      <c r="T101" s="12" t="n"/>
    </row>
    <row r="102" ht="79" customHeight="1">
      <c r="A102" s="6" t="inlineStr">
        <is>
          <t>TC-SEC-005</t>
        </is>
      </c>
      <c r="B102" s="6" t="inlineStr">
        <is>
          <t>보안·운영</t>
        </is>
      </c>
      <c r="C102" s="6" t="inlineStr">
        <is>
          <t>서명 비교 방식</t>
        </is>
      </c>
      <c r="D102" s="6" t="inlineStr">
        <is>
          <t>REQ-14</t>
        </is>
      </c>
      <c r="E102" s="6" t="inlineStr">
        <is>
          <t>추가 검증</t>
        </is>
      </c>
      <c r="F102" s="6" t="inlineStr">
        <is>
          <t>무발송</t>
        </is>
      </c>
      <c r="G102" s="6" t="inlineStr">
        <is>
          <t>수동</t>
        </is>
      </c>
      <c r="H102" s="6" t="inlineStr">
        <is>
          <t>P3</t>
        </is>
      </c>
      <c r="I102" s="12" t="inlineStr">
        <is>
          <t>B1 소스 코드</t>
        </is>
      </c>
      <c r="J102" s="12" t="inlineStr">
        <is>
          <t>1. 서명 비교 코드가 상수 시간 비교(hmac.compare_digest 등)를 쓰는지 리뷰
2. 서명이 Base64 디코딩 실패하는 값('!!!')일 때 동작</t>
        </is>
      </c>
      <c r="K102" s="12" t="inlineStr">
        <is>
          <t>코드 리뷰 + 비정상 서명</t>
        </is>
      </c>
      <c r="L102" s="12" t="inlineStr">
        <is>
          <t>1. 상수 시간 비교 사용(타이밍 공격 완화)
2. 예외 없이 4xx 거부</t>
        </is>
      </c>
      <c r="M102" s="6" t="inlineStr"/>
      <c r="N102" s="13" t="n"/>
      <c r="O102" s="14" t="n"/>
      <c r="P102" s="13" t="n"/>
      <c r="Q102" s="13" t="n"/>
      <c r="R102" s="13" t="n"/>
      <c r="S102" s="13" t="n"/>
      <c r="T102" s="12" t="n"/>
    </row>
    <row r="103" ht="64" customHeight="1">
      <c r="A103" s="6" t="inlineStr">
        <is>
          <t>TC-SEC-006</t>
        </is>
      </c>
      <c r="B103" s="6" t="inlineStr">
        <is>
          <t>보안·운영</t>
        </is>
      </c>
      <c r="C103" s="6" t="inlineStr">
        <is>
          <t>IP 제한 미사용</t>
        </is>
      </c>
      <c r="D103" s="6" t="inlineStr">
        <is>
          <t>REQ-13, REQ-14</t>
        </is>
      </c>
      <c r="E103" s="6" t="inlineStr">
        <is>
          <t>요구사항</t>
        </is>
      </c>
      <c r="F103" s="6" t="inlineStr">
        <is>
          <t>무발송</t>
        </is>
      </c>
      <c r="G103" s="6" t="inlineStr">
        <is>
          <t>수동</t>
        </is>
      </c>
      <c r="H103" s="6" t="inlineStr">
        <is>
          <t>P3</t>
        </is>
      </c>
      <c r="I103" s="12" t="inlineStr">
        <is>
          <t>B1 배포 설정(방화벽·ngrok 설정)</t>
        </is>
      </c>
      <c r="J103" s="12" t="inlineStr">
        <is>
          <t>1. B1 앞단에 IP allowlist가 없는지 확인
2. 임의 IP(로컬)에서 유효 서명 요청 → 처리, 무효 서명 → 거부</t>
        </is>
      </c>
      <c r="K103" s="12" t="inlineStr">
        <is>
          <t>설정 리뷰</t>
        </is>
      </c>
      <c r="L103" s="12" t="inlineStr">
        <is>
          <t>1. IP 기반 제한 없음(플랫폼 IP 비공개)
2. 접근 제어가 서명 검증으로만 이루어진다</t>
        </is>
      </c>
      <c r="M103" s="6" t="inlineStr"/>
      <c r="N103" s="13" t="n"/>
      <c r="O103" s="14" t="n"/>
      <c r="P103" s="13" t="n"/>
      <c r="Q103" s="13" t="n"/>
      <c r="R103" s="13" t="n"/>
      <c r="S103" s="13" t="n"/>
      <c r="T103" s="12" t="n"/>
    </row>
  </sheetData>
  <autoFilter ref="A1:T103"/>
  <conditionalFormatting sqref="N2:N1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5">
    <dataValidation sqref="N2:N103" showDropDown="0" showInputMessage="0" showErrorMessage="0" allowBlank="1" type="list">
      <formula1>"Pass,Fail,Blocked,N/A"</formula1>
    </dataValidation>
    <dataValidation sqref="H2:H103" showDropDown="0" showInputMessage="0" showErrorMessage="0" allowBlank="1" type="list">
      <formula1>"P1,P2,P3"</formula1>
    </dataValidation>
    <dataValidation sqref="E2:E103" showDropDown="0" showInputMessage="0" showErrorMessage="0" allowBlank="1" type="list">
      <formula1>"요구사항,리스크 기반,추가 검증"</formula1>
    </dataValidation>
    <dataValidation sqref="F2:F103" showDropDown="0" showInputMessage="0" showErrorMessage="0" allowBlank="1" type="list">
      <formula1>"무발송,발송,장기·한도"</formula1>
    </dataValidation>
    <dataValidation sqref="G2:G103" showDropDown="0" showInputMessage="0" showErrorMessage="0" allowBlank="1" type="list">
      <formula1>"API,UI,수동"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56" customWidth="1" min="4" max="4"/>
    <col width="34" customWidth="1" min="5" max="5"/>
    <col width="10" customWidth="1" min="6" max="6"/>
    <col width="40" customWidth="1" min="7" max="7"/>
  </cols>
  <sheetData>
    <row r="1">
      <c r="A1" s="5" t="inlineStr">
        <is>
          <t>구분</t>
        </is>
      </c>
      <c r="B1" s="5" t="inlineStr">
        <is>
          <t>ID</t>
        </is>
      </c>
      <c r="C1" s="5" t="inlineStr">
        <is>
          <t>이름</t>
        </is>
      </c>
      <c r="D1" s="5" t="inlineStr">
        <is>
          <t>조건</t>
        </is>
      </c>
      <c r="E1" s="5" t="inlineStr">
        <is>
          <t>사용 TC</t>
        </is>
      </c>
      <c r="F1" s="5" t="inlineStr">
        <is>
          <t>준비 완료</t>
        </is>
      </c>
      <c r="G1" s="5" t="inlineStr">
        <is>
          <t>실제 값(ID·URL·버전 등, 비밀값 제외)</t>
        </is>
      </c>
    </row>
    <row r="2" ht="62" customHeight="1">
      <c r="A2" s="6" t="inlineStr">
        <is>
          <t>채널</t>
        </is>
      </c>
      <c r="B2" s="6" t="inlineStr">
        <is>
          <t>CH1</t>
        </is>
      </c>
      <c r="C2" s="12" t="inlineStr">
        <is>
          <t>메인 테스트 채널</t>
        </is>
      </c>
      <c r="D2" s="12" t="inlineStr">
        <is>
          <t>개인 프로바이더의 Messaging API 채널. Webhook 사용 ON·재전송 ON, 채널 ID·secret·long-lived 토큰 확보, assertion 서명 키 등록. 월 무료 메시지 한도 내 운영</t>
        </is>
      </c>
      <c r="E2" s="12" t="inlineStr">
        <is>
          <t>대부분의 TC</t>
        </is>
      </c>
      <c r="F2" s="13" t="n"/>
      <c r="G2" s="14" t="n"/>
    </row>
    <row r="3" ht="32" customHeight="1">
      <c r="A3" s="6" t="inlineStr">
        <is>
          <t>채널</t>
        </is>
      </c>
      <c r="B3" s="6" t="inlineStr">
        <is>
          <t>CH2</t>
        </is>
      </c>
      <c r="C3" s="12" t="inlineStr">
        <is>
          <t>타 프로바이더 채널</t>
        </is>
      </c>
      <c r="D3" s="12" t="inlineStr">
        <is>
          <t>다른 프로바이더 아래 두 번째 채널(userId가 CH1과 다름). verified 아님</t>
        </is>
      </c>
      <c r="E3" s="12" t="inlineStr">
        <is>
          <t>TC-PSH-004, TC-MLT-003, TC-RLM-003, TC-PGN-005</t>
        </is>
      </c>
      <c r="F3" s="13" t="n"/>
      <c r="G3" s="14" t="n"/>
    </row>
    <row r="4" ht="47" customHeight="1">
      <c r="A4" s="6" t="inlineStr">
        <is>
          <t>계정</t>
        </is>
      </c>
      <c r="B4" s="6" t="inlineStr">
        <is>
          <t>U1</t>
        </is>
      </c>
      <c r="C4" s="12" t="inlineStr">
        <is>
          <t>메인 테스트 사용자</t>
        </is>
      </c>
      <c r="D4" s="12" t="inlineStr">
        <is>
          <t>본인 LINE 계정. CH1 친구, 프로필 동의, 알림 허용. userId는 웹훅 source.userId에서 확보</t>
        </is>
      </c>
      <c r="E4" s="12" t="inlineStr">
        <is>
          <t>발송·웹훅 TC 전반</t>
        </is>
      </c>
      <c r="F4" s="13" t="n"/>
      <c r="G4" s="14" t="n"/>
    </row>
    <row r="5" ht="32" customHeight="1">
      <c r="A5" s="6" t="inlineStr">
        <is>
          <t>계정</t>
        </is>
      </c>
      <c r="B5" s="6" t="inlineStr">
        <is>
          <t>U2</t>
        </is>
      </c>
      <c r="C5" s="12" t="inlineStr">
        <is>
          <t>차단 상태 사용자</t>
        </is>
      </c>
      <c r="D5" s="12" t="inlineStr">
        <is>
          <t>보조 계정. CH1 친구 추가 후 차단(필요 시 해제). 그룹 G1 구성원</t>
        </is>
      </c>
      <c r="E5" s="12" t="inlineStr">
        <is>
          <t>TC-PSH-003, TC-MLT-001/004, TC-WHK-009, TC-PGN-006</t>
        </is>
      </c>
      <c r="F5" s="13" t="n"/>
      <c r="G5" s="14" t="n"/>
    </row>
    <row r="6" ht="32" customHeight="1">
      <c r="A6" s="6" t="inlineStr">
        <is>
          <t>계정</t>
        </is>
      </c>
      <c r="B6" s="6" t="inlineStr">
        <is>
          <t>U3</t>
        </is>
      </c>
      <c r="C6" s="12" t="inlineStr">
        <is>
          <t>미친구 발신 사용자</t>
        </is>
      </c>
      <c r="D6" s="12" t="inlineStr">
        <is>
          <t>보조 계정. CH1을 친구 추가하지 않고 1:1 메시지를 보낸 지 7일 이내</t>
        </is>
      </c>
      <c r="E6" s="12" t="inlineStr">
        <is>
          <t>TC-PSH-006, TC-PGN-006</t>
        </is>
      </c>
      <c r="F6" s="13" t="n"/>
      <c r="G6" s="14" t="n"/>
    </row>
    <row r="7" ht="32" customHeight="1">
      <c r="A7" s="6" t="inlineStr">
        <is>
          <t>그룹</t>
        </is>
      </c>
      <c r="B7" s="6" t="inlineStr">
        <is>
          <t>G1</t>
        </is>
      </c>
      <c r="C7" s="12" t="inlineStr">
        <is>
          <t>봇 참여 그룹</t>
        </is>
      </c>
      <c r="D7" s="12" t="inlineStr">
        <is>
          <t>U1·U2·봇이 구성원. groupId는 join 이벤트에서 확보</t>
        </is>
      </c>
      <c r="E7" s="12" t="inlineStr">
        <is>
          <t>TC-PSH-002, TC-MLT-003, TC-WHK-012, TC-PGN-008</t>
        </is>
      </c>
      <c r="F7" s="13" t="n"/>
      <c r="G7" s="14" t="n"/>
    </row>
    <row r="8" ht="32" customHeight="1">
      <c r="A8" s="6" t="inlineStr">
        <is>
          <t>그룹</t>
        </is>
      </c>
      <c r="B8" s="6" t="inlineStr">
        <is>
          <t>G2</t>
        </is>
      </c>
      <c r="C8" s="12" t="inlineStr">
        <is>
          <t>봇 탈퇴 그룹</t>
        </is>
      </c>
      <c r="D8" s="12" t="inlineStr">
        <is>
          <t>봇이 참여했다가 탈퇴한 그룹의 groupId</t>
        </is>
      </c>
      <c r="E8" s="12" t="inlineStr">
        <is>
          <t>TC-PSH-005</t>
        </is>
      </c>
      <c r="F8" s="13" t="n"/>
      <c r="G8" s="14" t="n"/>
    </row>
    <row r="9" ht="62" customHeight="1">
      <c r="A9" s="6" t="inlineStr">
        <is>
          <t>서버</t>
        </is>
      </c>
      <c r="B9" s="6" t="inlineStr">
        <is>
          <t>B1</t>
        </is>
      </c>
      <c r="C9" s="12" t="inlineStr">
        <is>
          <t>봇서버</t>
        </is>
      </c>
      <c r="D9" s="12" t="inlineStr">
        <is>
          <t>로컬 FastAPI + ngrok HTTPS. 서명 검증, 원문 body·헤더·IP 로그, webhookEventId 중복 제거, 응답 모드(200/500/지연 5·15·30초/종료)를 설정으로 전환</t>
        </is>
      </c>
      <c r="E9" s="12" t="inlineStr">
        <is>
          <t>웹훅 TC 전반</t>
        </is>
      </c>
      <c r="F9" s="13" t="n"/>
      <c r="G9" s="14" t="n"/>
    </row>
    <row r="10" ht="62" customHeight="1">
      <c r="A10" s="6" t="inlineStr">
        <is>
          <t>서버</t>
        </is>
      </c>
      <c r="B10" s="6" t="inlineStr">
        <is>
          <t>MK1</t>
        </is>
      </c>
      <c r="C10" s="12" t="inlineStr">
        <is>
          <t>LINE API 모의 서버</t>
        </is>
      </c>
      <c r="D10" s="12" t="inlineStr">
        <is>
          <t>LINE API 응답을 흉내 내는 로컬 서버. 429·500·타임아웃·409·월 한도 429·필드 추가·to 500건 시나리오를 재현. 가이드라인상 실플랫폼 부하·무효 ID 요청 금지를 대체</t>
        </is>
      </c>
      <c r="E10" s="12" t="inlineStr">
        <is>
          <t>TC-CMN-008, TC-MLT-002/006/010, TC-IDM-007/008, TC-RLM-001/003/005/006</t>
        </is>
      </c>
      <c r="F10" s="13" t="n"/>
      <c r="G10" s="14" t="n"/>
    </row>
    <row r="11" ht="32" customHeight="1">
      <c r="A11" s="6" t="inlineStr">
        <is>
          <t>토큰</t>
        </is>
      </c>
      <c r="B11" s="6" t="inlineStr">
        <is>
          <t>T1</t>
        </is>
      </c>
      <c r="C11" s="12" t="inlineStr">
        <is>
          <t>long-lived 토큰</t>
        </is>
      </c>
      <c r="D11" s="12" t="inlineStr">
        <is>
          <t>콘솔에서 발급. 기본 인증용</t>
        </is>
      </c>
      <c r="E11" s="12" t="inlineStr">
        <is>
          <t>기본</t>
        </is>
      </c>
      <c r="F11" s="13" t="n"/>
      <c r="G11" s="14" t="n"/>
    </row>
    <row r="12" ht="32" customHeight="1">
      <c r="A12" s="6" t="inlineStr">
        <is>
          <t>토큰</t>
        </is>
      </c>
      <c r="B12" s="6" t="inlineStr">
        <is>
          <t>T2</t>
        </is>
      </c>
      <c r="C12" s="12" t="inlineStr">
        <is>
          <t>stateless 토큰</t>
        </is>
      </c>
      <c r="D12" s="12" t="inlineStr">
        <is>
          <t>POST /oauth2/v3/token으로 발급(15분)</t>
        </is>
      </c>
      <c r="E12" s="12" t="inlineStr">
        <is>
          <t>TC-AUTH-001, 007, 008</t>
        </is>
      </c>
      <c r="F12" s="13" t="n"/>
      <c r="G12" s="14" t="n"/>
    </row>
    <row r="13" ht="32" customHeight="1">
      <c r="A13" s="6" t="inlineStr">
        <is>
          <t>토큰</t>
        </is>
      </c>
      <c r="B13" s="6" t="inlineStr">
        <is>
          <t>T3</t>
        </is>
      </c>
      <c r="C13" s="12" t="inlineStr">
        <is>
          <t>v2.1 토큰</t>
        </is>
      </c>
      <c r="D13" s="12" t="inlineStr">
        <is>
          <t>JWT assertion으로 발급(token_exp 3600)</t>
        </is>
      </c>
      <c r="E13" s="12" t="inlineStr">
        <is>
          <t>TC-AUTH-003~006</t>
        </is>
      </c>
      <c r="F13" s="13" t="n"/>
      <c r="G13" s="14" t="n"/>
    </row>
    <row r="14" ht="32" customHeight="1">
      <c r="A14" s="6" t="inlineStr">
        <is>
          <t>오디언스</t>
        </is>
      </c>
      <c r="B14" s="6" t="inlineStr">
        <is>
          <t>A1</t>
        </is>
      </c>
      <c r="C14" s="12" t="inlineStr">
        <is>
          <t>업로드 오디언스</t>
        </is>
      </c>
      <c r="D14" s="12" t="inlineStr">
        <is>
          <t>U1·U2 userId로 생성(업로드 오디언스는 50명 제한 예외)</t>
        </is>
      </c>
      <c r="E14" s="12" t="inlineStr">
        <is>
          <t>TC-MLT-007</t>
        </is>
      </c>
      <c r="F14" s="13" t="n"/>
      <c r="G14" s="14" t="n"/>
    </row>
    <row r="15" ht="47" customHeight="1">
      <c r="A15" s="6" t="inlineStr">
        <is>
          <t>샘플</t>
        </is>
      </c>
      <c r="B15" s="6" t="inlineStr">
        <is>
          <t>MS1</t>
        </is>
      </c>
      <c r="C15" s="12" t="inlineStr">
        <is>
          <t>텍스트 길이 샘플</t>
        </is>
      </c>
      <c r="D15" s="12" t="inlineStr">
        <is>
          <t>ASCII 0/1/4999/5000/5001자, '🍎' 2500/2501개, 한글 5000자, 결합 이모지 625/626개</t>
        </is>
      </c>
      <c r="E15" s="12" t="inlineStr">
        <is>
          <t>TC-MSG-001/002</t>
        </is>
      </c>
      <c r="F15" s="13" t="n"/>
      <c r="G15" s="14" t="n"/>
    </row>
    <row r="16" ht="47" customHeight="1">
      <c r="A16" s="6" t="inlineStr">
        <is>
          <t>샘플</t>
        </is>
      </c>
      <c r="B16" s="6" t="inlineStr">
        <is>
          <t>MS2</t>
        </is>
      </c>
      <c r="C16" s="12" t="inlineStr">
        <is>
          <t>메시지 타입 샘플</t>
        </is>
      </c>
      <c r="D16" s="12" t="inlineStr">
        <is>
          <t>text/sticker/image/location/template(buttons)/flex 유효 객체 각 1개(HTTPS 이미지 URL 포함)</t>
        </is>
      </c>
      <c r="E16" s="12" t="inlineStr">
        <is>
          <t>TC-MSG-010, TC-MSG-011</t>
        </is>
      </c>
      <c r="F16" s="13" t="n"/>
      <c r="G16" s="14" t="n"/>
    </row>
    <row r="17" ht="32" customHeight="1">
      <c r="A17" s="6" t="inlineStr">
        <is>
          <t>샘플</t>
        </is>
      </c>
      <c r="B17" s="6" t="inlineStr">
        <is>
          <t>MS3</t>
        </is>
      </c>
      <c r="C17" s="12" t="inlineStr">
        <is>
          <t>웹훅 본문 샘플</t>
        </is>
      </c>
      <c r="D17" s="12" t="inlineStr">
        <is>
          <t>TC-WHK-001에서 저장한 원문 body + 서명(재전송·변조·standby 변형 생성용)</t>
        </is>
      </c>
      <c r="E17" s="12" t="inlineStr">
        <is>
          <t>TC-WHK-002~005/007, TC-RPL-006, TC-WHS-006</t>
        </is>
      </c>
      <c r="F17" s="13" t="n"/>
      <c r="G17" s="14" t="n"/>
    </row>
    <row r="18" ht="32" customHeight="1">
      <c r="A18" s="6" t="inlineStr">
        <is>
          <t>키</t>
        </is>
      </c>
      <c r="B18" s="6" t="inlineStr">
        <is>
          <t>RK1~RK7</t>
        </is>
      </c>
      <c r="C18" s="12" t="inlineStr">
        <is>
          <t>리트라이 키</t>
        </is>
      </c>
      <c r="D18" s="12" t="inlineStr">
        <is>
          <t>uuid4()로 생성한 소문자 하이픈 UUID. 케이스마다 새 값</t>
        </is>
      </c>
      <c r="E18" s="12" t="inlineStr">
        <is>
          <t>TC-IDM 그룹, 발송 TC</t>
        </is>
      </c>
      <c r="F18" s="13" t="n"/>
      <c r="G18" s="14" t="n"/>
    </row>
    <row r="20">
      <c r="A20" s="10" t="inlineStr">
        <is>
          <t>※ 채널 secret·토큰·개인 키는 이 파일에 기록하지 않는다(환경 변수·비밀 저장소). 실제 값 열에는 식별자·URL·버전만 적는다</t>
        </is>
      </c>
    </row>
  </sheetData>
  <dataValidations count="1">
    <dataValidation sqref="F2:F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5" customWidth="1" min="2" max="2"/>
    <col width="22" customWidth="1" min="3" max="3"/>
    <col width="40" customWidth="1" min="4" max="4"/>
    <col width="10" customWidth="1" min="5" max="5"/>
    <col width="34" customWidth="1" min="6" max="6"/>
    <col width="45" customWidth="1" min="7" max="7"/>
    <col width="11" customWidth="1" min="8" max="8"/>
  </cols>
  <sheetData>
    <row r="1">
      <c r="A1" s="5" t="inlineStr">
        <is>
          <t>ID</t>
        </is>
      </c>
      <c r="B1" s="5" t="inlineStr">
        <is>
          <t>질의</t>
        </is>
      </c>
      <c r="C1" s="5" t="inlineStr">
        <is>
          <t>영향</t>
        </is>
      </c>
      <c r="D1" s="5" t="inlineStr">
        <is>
          <t>회신 전 처리</t>
        </is>
      </c>
      <c r="E1" s="5" t="inlineStr">
        <is>
          <t>영향 TC 수</t>
        </is>
      </c>
      <c r="F1" s="5" t="inlineStr">
        <is>
          <t>영향 TC</t>
        </is>
      </c>
      <c r="G1" s="5" t="inlineStr">
        <is>
          <t>확인 결과(실제 응답)</t>
        </is>
      </c>
      <c r="H1" s="5" t="inlineStr">
        <is>
          <t>확인일</t>
        </is>
      </c>
    </row>
    <row r="2" ht="77" customHeight="1">
      <c r="A2" s="6" t="inlineStr">
        <is>
          <t>Q01</t>
        </is>
      </c>
      <c r="B2" s="12" t="inlineStr">
        <is>
          <t>리트라이 키 형식 검증 범위: UUID 형식이 아닌 문자열('abc'), 대문자 UUID, 중괄호 포함 UUID, 빈 문자열을 X-Line-Retry-Key에 넣었을 때 400인지 그대로 수락되는지, 수락되면 멱등 키로 동작하는지</t>
        </is>
      </c>
      <c r="C2" s="12" t="inlineStr">
        <is>
          <t>멱등성·재시도 TC</t>
        </is>
      </c>
      <c r="D2" s="12" t="inlineStr">
        <is>
          <t>모의 서버가 아닌 테스트 채널에 1회씩 보내 상태 코드·message 기록 후 판정</t>
        </is>
      </c>
      <c r="E2" s="6">
        <f>COUNTIF('테스트케이스'!$M$2:$M$103,"*"&amp;A2&amp;"*")</f>
        <v/>
      </c>
      <c r="F2" s="12" t="inlineStr">
        <is>
          <t>IDM-006</t>
        </is>
      </c>
      <c r="G2" s="14" t="n"/>
      <c r="H2" s="13" t="n"/>
    </row>
    <row r="3" ht="62" customHeight="1">
      <c r="A3" s="6" t="inlineStr">
        <is>
          <t>Q02</t>
        </is>
      </c>
      <c r="B3" s="12" t="inlineStr">
        <is>
          <t>같은 리트라이 키로 본문(수신자·메시지 내용)을 바꿔 재요청하면 409(키 기준 차단)인지 신규 처리인지. 문서는 '예상대로 동작하지 않을 수 있음'만 명시</t>
        </is>
      </c>
      <c r="C3" s="12" t="inlineStr">
        <is>
          <t>멱등성 TC, 운영 리스크</t>
        </is>
      </c>
      <c r="D3" s="12" t="inlineStr">
        <is>
          <t>현재 동작(상태 코드, accepted-request-id, 실제 도달 메시지) 기록 후 판정</t>
        </is>
      </c>
      <c r="E3" s="6">
        <f>COUNTIF('테스트케이스'!$M$2:$M$103,"*"&amp;A3&amp;"*")</f>
        <v/>
      </c>
      <c r="F3" s="12" t="inlineStr">
        <is>
          <t>IDM-004</t>
        </is>
      </c>
      <c r="G3" s="14" t="n"/>
      <c r="H3" s="13" t="n"/>
    </row>
    <row r="4" ht="62" customHeight="1">
      <c r="A4" s="6" t="inlineStr">
        <is>
          <t>Q03</t>
        </is>
      </c>
      <c r="B4" s="12" t="inlineStr">
        <is>
          <t>multicast to 배열 경계: 빈 배열, 같은 userId 중복, 유효 ID와 타채널 ID 혼합일 때 400인지 부분 발송인지, 중복이 500 한도 계산에 포함되는지</t>
        </is>
      </c>
      <c r="C4" s="12" t="inlineStr">
        <is>
          <t>다중 발송 TC</t>
        </is>
      </c>
      <c r="D4" s="12" t="inlineStr">
        <is>
          <t>현재 동작(상태 코드, details[].property, 도달 건수) 기록 후 판정</t>
        </is>
      </c>
      <c r="E4" s="6">
        <f>COUNTIF('테스트케이스'!$M$2:$M$103,"*"&amp;A4&amp;"*")</f>
        <v/>
      </c>
      <c r="F4" s="12" t="inlineStr">
        <is>
          <t>MLT-002, MLT-003</t>
        </is>
      </c>
      <c r="G4" s="14" t="n"/>
      <c r="H4" s="13" t="n"/>
    </row>
    <row r="5" ht="77" customHeight="1">
      <c r="A5" s="6" t="inlineStr">
        <is>
          <t>Q04</t>
        </is>
      </c>
      <c r="B5" s="12" t="inlineStr">
        <is>
          <t>messages 배열 경계의 오류 표기: 빈 배열([])과 6개 초과 시 message·details[].property 값(messages 인지 messages[5] 인지), 5개 중 1개만 무효일 때 property 인덱스 표기</t>
        </is>
      </c>
      <c r="C5" s="12" t="inlineStr">
        <is>
          <t>메시지 객체 검증 TC, 자동화 assertion</t>
        </is>
      </c>
      <c r="D5" s="12" t="inlineStr">
        <is>
          <t>validate 엔드포인트로 현재 응답 본문을 기록해 assertion 기준으로 채택</t>
        </is>
      </c>
      <c r="E5" s="6">
        <f>COUNTIF('테스트케이스'!$M$2:$M$103,"*"&amp;A5&amp;"*")</f>
        <v/>
      </c>
      <c r="F5" s="12" t="inlineStr">
        <is>
          <t>RPL-004, MSG-004</t>
        </is>
      </c>
      <c r="G5" s="14" t="n"/>
      <c r="H5" s="13" t="n"/>
    </row>
    <row r="6" ht="92" customHeight="1">
      <c r="A6" s="6" t="inlineStr">
        <is>
          <t>Q05</t>
        </is>
      </c>
      <c r="B6" s="12" t="inlineStr">
        <is>
          <t>Authorization 헤더 변형 처리: 스킴 소문자('bearer'), 공백 2개, 스킴 없이 토큰만, 빈 토큰, 헤더 자체 누락일 때 모두 401인지, message가 'Authentication failed due to the following reason: XXX' 형식인지</t>
        </is>
      </c>
      <c r="C6" s="12" t="inlineStr">
        <is>
          <t>인증 TC</t>
        </is>
      </c>
      <c r="D6" s="12" t="inlineStr">
        <is>
          <t>조회성 엔드포인트(GET /v2/bot/info)로 현재 동작 기록 후 판정</t>
        </is>
      </c>
      <c r="E6" s="6">
        <f>COUNTIF('테스트케이스'!$M$2:$M$103,"*"&amp;A6&amp;"*")</f>
        <v/>
      </c>
      <c r="F6" s="12" t="inlineStr">
        <is>
          <t>AUTH-009</t>
        </is>
      </c>
      <c r="G6" s="14" t="n"/>
      <c r="H6" s="13" t="n"/>
    </row>
    <row r="7" ht="92" customHeight="1">
      <c r="A7" s="6" t="inlineStr">
        <is>
          <t>Q06</t>
        </is>
      </c>
      <c r="B7" s="12" t="inlineStr">
        <is>
          <t>Content-Type 처리: 헤더 누락, text/plain으로 JSON 전송, application/json; charset=utf-8, multipart일 때 400/415 중 무엇이고 'The content type, XXX, is not supported' 메시지가 나오는지</t>
        </is>
      </c>
      <c r="C7" s="12" t="inlineStr">
        <is>
          <t>공통 계약 TC</t>
        </is>
      </c>
      <c r="D7" s="12" t="inlineStr">
        <is>
          <t>validate 엔드포인트로 현재 동작 기록 후 판정</t>
        </is>
      </c>
      <c r="E7" s="6">
        <f>COUNTIF('테스트케이스'!$M$2:$M$103,"*"&amp;A7&amp;"*")</f>
        <v/>
      </c>
      <c r="F7" s="12" t="inlineStr">
        <is>
          <t>CMN-004</t>
        </is>
      </c>
      <c r="G7" s="14" t="n"/>
      <c r="H7" s="13" t="n"/>
    </row>
    <row r="8" ht="77" customHeight="1">
      <c r="A8" s="6" t="inlineStr">
        <is>
          <t>Q07</t>
        </is>
      </c>
      <c r="B8" s="12" t="inlineStr">
        <is>
          <t>reply token 만료 경계: 수신 후 59초/60초/61초/20분 시점의 실제 거부 여부와 오류 message. 문서는 '1분 이후 동작 보장 안 됨'으로 비결정을 명시하고 '시간 제한에 의존하지 말 것'을 권고</t>
        </is>
      </c>
      <c r="C8" s="12" t="inlineStr">
        <is>
          <t>응답 메시지 TC(비결정 영역)</t>
        </is>
      </c>
      <c r="D8" s="12" t="inlineStr">
        <is>
          <t>각 시점 3회 측정해 결과 분포를 기록하고 Pass/Fail 대신 '관찰'로 판정, 설계 권고(즉시 사용)로 처리</t>
        </is>
      </c>
      <c r="E8" s="6">
        <f>COUNTIF('테스트케이스'!$M$2:$M$103,"*"&amp;A8&amp;"*")</f>
        <v/>
      </c>
      <c r="F8" s="12" t="inlineStr">
        <is>
          <t>RPL-003</t>
        </is>
      </c>
      <c r="G8" s="14" t="n"/>
      <c r="H8" s="13" t="n"/>
    </row>
    <row r="9" ht="62" customHeight="1">
      <c r="A9" s="6" t="inlineStr">
        <is>
          <t>Q08</t>
        </is>
      </c>
      <c r="B9" s="12" t="inlineStr">
        <is>
          <t>429 응답의 세부: Retry-After 헤더 포함 여부, 본문 details 유무, 토큰 버킷 보충 속도(초당 몇 건 회복), 월 한도 429와 레이트리밋 429의 message 외 구분자</t>
        </is>
      </c>
      <c r="C9" s="12" t="inlineStr">
        <is>
          <t>레이트리밋 TC, 클라이언트 백오프 설계</t>
        </is>
      </c>
      <c r="D9" s="12" t="inlineStr">
        <is>
          <t>가이드라인상 실플랫폼에 한도 초과 요청 금지. 한도가 낮은 webhook test(60/h)에서 1회 초과만 관찰해 헤더·본문 기록</t>
        </is>
      </c>
      <c r="E9" s="6">
        <f>COUNTIF('테스트케이스'!$M$2:$M$103,"*"&amp;A9&amp;"*")</f>
        <v/>
      </c>
      <c r="F9" s="12" t="inlineStr">
        <is>
          <t>RLM-001, RLM-002, RLM-005</t>
        </is>
      </c>
      <c r="G9" s="14" t="n"/>
      <c r="H9" s="13" t="n"/>
    </row>
    <row r="10" ht="47" customHeight="1">
      <c r="A10" s="6" t="inlineStr">
        <is>
          <t>Q09</t>
        </is>
      </c>
      <c r="B10" s="12" t="inlineStr">
        <is>
          <t>웹훅 재전송의 횟수·간격(비공개)과 봇서버 응답 타임아웃 기준 초. 타임아웃으로 간주되는 지연 시간과 재전송 종료 후 콘솔 통계 반영 시점</t>
        </is>
      </c>
      <c r="C10" s="12" t="inlineStr">
        <is>
          <t>웹훅 재전송 TC</t>
        </is>
      </c>
      <c r="D10" s="12" t="inlineStr">
        <is>
          <t>봇서버 지연을 5/15/30초로 바꿔 콘솔 통계(reason)와 재전송 도착 시각을 기록해 역도출</t>
        </is>
      </c>
      <c r="E10" s="6">
        <f>COUNTIF('테스트케이스'!$M$2:$M$103,"*"&amp;A10&amp;"*")</f>
        <v/>
      </c>
      <c r="F10" s="12" t="inlineStr">
        <is>
          <t>WHS-003, WHS-005</t>
        </is>
      </c>
      <c r="G10" s="14" t="n"/>
      <c r="H10" s="13" t="n"/>
    </row>
    <row r="11" ht="62" customHeight="1">
      <c r="A11" s="6" t="inlineStr">
        <is>
          <t>Q10</t>
        </is>
      </c>
      <c r="B11" s="12" t="inlineStr">
        <is>
          <t>followers/ids의 limit 범위 외 값(0, 음수, 1001, 문자열)과 start에 임의 문자열 지정 시 400인지 기본값·최대값으로 보정되는지, 오류 property 값</t>
        </is>
      </c>
      <c r="C11" s="12" t="inlineStr">
        <is>
          <t>페이지네이션 TC</t>
        </is>
      </c>
      <c r="D11" s="12" t="inlineStr">
        <is>
          <t>현재 동작 기록 후 판정. verified 계정이 아니면 403으로 Blocked 처리</t>
        </is>
      </c>
      <c r="E11" s="6">
        <f>COUNTIF('테스트케이스'!$M$2:$M$103,"*"&amp;A11&amp;"*")</f>
        <v/>
      </c>
      <c r="F11" s="12" t="inlineStr">
        <is>
          <t>PGN-002, PGN-004</t>
        </is>
      </c>
      <c r="G11" s="14" t="n"/>
      <c r="H11" s="13" t="n"/>
    </row>
    <row r="12" ht="77" customHeight="1">
      <c r="A12" s="6" t="inlineStr">
        <is>
          <t>Q11</t>
        </is>
      </c>
      <c r="B12" s="12" t="inlineStr">
        <is>
          <t>text 길이 경계의 오류 표기: 5001자(UTF-16 유닛) 초과 시 details[].property·message, LINE 이모지 대체 텍스트 치환 후 길이가 5000을 넘는 경우의 처리, 4999자 + 서로게이트 이모지 1개(=5001유닛)의 판정</t>
        </is>
      </c>
      <c r="C12" s="12" t="inlineStr">
        <is>
          <t>메시지 객체 검증 TC</t>
        </is>
      </c>
      <c r="D12" s="12" t="inlineStr">
        <is>
          <t>validate 엔드포인트로 현재 응답 기록 후 판정</t>
        </is>
      </c>
      <c r="E12" s="6">
        <f>COUNTIF('테스트케이스'!$M$2:$M$103,"*"&amp;A12&amp;"*")</f>
        <v/>
      </c>
      <c r="F12" s="12" t="inlineStr">
        <is>
          <t>MSG-001, MSG-002, MSG-003</t>
        </is>
      </c>
      <c r="G12" s="14" t="n"/>
      <c r="H12" s="13" t="n"/>
    </row>
    <row r="13" ht="77" customHeight="1">
      <c r="A13" s="6" t="inlineStr">
        <is>
          <t>Q12</t>
        </is>
      </c>
      <c r="B13" s="12" t="inlineStr">
        <is>
          <t>선택 파라미터 타입·조합 검증: notificationDisabled에 문자열 'true'/숫자 1, customAggregationUnits에 빈 배열·2개, to에 groupId + customAggregationUnits 조합일 때 400인지 무시되는지</t>
        </is>
      </c>
      <c r="C13" s="12" t="inlineStr">
        <is>
          <t>푸시 메시지 TC</t>
        </is>
      </c>
      <c r="D13" s="12" t="inlineStr">
        <is>
          <t>validate가 아닌 push 본문 검증이므로 테스트 사용자(U1)에게 1회씩 보내 현재 동작 기록</t>
        </is>
      </c>
      <c r="E13" s="6">
        <f>COUNTIF('테스트케이스'!$M$2:$M$103,"*"&amp;A13&amp;"*")</f>
        <v/>
      </c>
      <c r="F13" s="12" t="inlineStr">
        <is>
          <t>PSH-007, PSH-008</t>
        </is>
      </c>
      <c r="G13" s="14" t="n"/>
      <c r="H13" s="13" t="n"/>
    </row>
    <row r="14" ht="77" customHeight="1">
      <c r="A14" s="6" t="inlineStr">
        <is>
          <t>Q13</t>
        </is>
      </c>
      <c r="B14" s="12" t="inlineStr">
        <is>
          <t>webhook test 엔드포인트의 endpoint 파라미터에 http://(비HTTPS), 501자 URL, 해석 불가 도메인, 포트 포함 URL을 지정했을 때의 상태 코드(400 vs 200+success=false)와 reason 값</t>
        </is>
      </c>
      <c r="C14" s="12" t="inlineStr">
        <is>
          <t>웹훅 설정 TC</t>
        </is>
      </c>
      <c r="D14" s="12" t="inlineStr">
        <is>
          <t>현재 동작 기록 후 판정. 60 req/h 한도 내에서 수행</t>
        </is>
      </c>
      <c r="E14" s="6">
        <f>COUNTIF('테스트케이스'!$M$2:$M$103,"*"&amp;A14&amp;"*")</f>
        <v/>
      </c>
      <c r="F14" s="12" t="inlineStr">
        <is>
          <t>WHS-004</t>
        </is>
      </c>
      <c r="G14" s="14" t="n"/>
      <c r="H14" s="13" t="n"/>
    </row>
    <row r="16">
      <c r="A16" s="10" t="inlineStr">
        <is>
          <t>※ 영향 TC 목록은 2026-10-25 설계 시점 기준. TC의 '관련 질의' 열을 바꾸면 '영향 TC 수'만 자동 갱신됨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50" customWidth="1" min="3" max="3"/>
    <col width="30" customWidth="1" min="4" max="4"/>
  </cols>
  <sheetData>
    <row r="1">
      <c r="A1" s="5" t="inlineStr">
        <is>
          <t>관점</t>
        </is>
      </c>
      <c r="B1" s="5" t="inlineStr">
        <is>
          <t>확인 항목</t>
        </is>
      </c>
      <c r="C1" s="5" t="inlineStr">
        <is>
          <t>연결 TC</t>
        </is>
      </c>
      <c r="D1" s="5" t="inlineStr">
        <is>
          <t>비고</t>
        </is>
      </c>
    </row>
    <row r="2" ht="32" customHeight="1">
      <c r="A2" s="6" t="inlineStr">
        <is>
          <t>계약·스키마</t>
        </is>
      </c>
      <c r="B2" s="12" t="inlineStr">
        <is>
          <t>성공·오류 응답 필드·타입, Content-Type, 미지 필드 내성</t>
        </is>
      </c>
      <c r="C2" s="12" t="inlineStr">
        <is>
          <t>TC-CMN-001, TC-CMN-002, TC-CMN-007, TC-CMN-008</t>
        </is>
      </c>
      <c r="D2" s="14" t="n"/>
    </row>
    <row r="3" ht="32" customHeight="1">
      <c r="A3" s="6" t="inlineStr">
        <is>
          <t>인증·권한</t>
        </is>
      </c>
      <c r="B3" s="12" t="inlineStr">
        <is>
          <t>토큰 종류·만료·폐기, 401/403, 헤더 변형</t>
        </is>
      </c>
      <c r="C3" s="12" t="inlineStr">
        <is>
          <t>TC-AUTH-001 ~ TC-AUTH-009, TC-PGN-005</t>
        </is>
      </c>
      <c r="D3" s="14" t="n"/>
    </row>
    <row r="4" ht="32" customHeight="1">
      <c r="A4" s="6" t="inlineStr">
        <is>
          <t>상태 코드·오류 포맷</t>
        </is>
      </c>
      <c r="B4" s="12" t="inlineStr">
        <is>
          <t>400/404/409/410/413/429의 message·details·property</t>
        </is>
      </c>
      <c r="C4" s="12" t="inlineStr">
        <is>
          <t>TC-CMN-002 ~ TC-CMN-006, TC-RPL-002, TC-PGN-006/007</t>
        </is>
      </c>
      <c r="D4" s="14" t="n"/>
    </row>
    <row r="5" ht="32" customHeight="1">
      <c r="A5" s="6" t="inlineStr">
        <is>
          <t>입력 검증·경계</t>
        </is>
      </c>
      <c r="B5" s="12" t="inlineStr">
        <is>
          <t>길이(UTF-16)·개수·열거값·형식·URL 인코딩</t>
        </is>
      </c>
      <c r="C5" s="12" t="inlineStr">
        <is>
          <t>TC-MSG-001 ~ TC-MSG-007, TC-MSG-011, TC-PSH-008/009, TC-WHS-002</t>
        </is>
      </c>
      <c r="D5" s="14" t="n"/>
    </row>
    <row r="6" ht="32" customHeight="1">
      <c r="A6" s="6" t="inlineStr">
        <is>
          <t>멱등성·재시도</t>
        </is>
      </c>
      <c r="B6" s="12" t="inlineStr">
        <is>
          <t>리트라이 키 409·24h·본문 불일치, 상태 코드별 재시도 정책</t>
        </is>
      </c>
      <c r="C6" s="12" t="inlineStr">
        <is>
          <t>TC-IDM-001 ~ TC-IDM-008, TC-RPL-007</t>
        </is>
      </c>
      <c r="D6" s="14" t="n"/>
    </row>
    <row r="7" ht="32" customHeight="1">
      <c r="A7" s="6" t="inlineStr">
        <is>
          <t>비동기·상태 조회</t>
        </is>
      </c>
      <c r="B7" s="12" t="inlineStr">
        <is>
          <t>202 수락 후 phase 전이, 상태 창 만료, 콘텐츠 준비 202</t>
        </is>
      </c>
      <c r="C7" s="12" t="inlineStr">
        <is>
          <t>TC-MLT-007 ~ TC-MLT-010, TC-PGN-007</t>
        </is>
      </c>
      <c r="D7" s="14" t="n"/>
    </row>
    <row r="8" ht="32" customHeight="1">
      <c r="A8" s="6" t="inlineStr">
        <is>
          <t>페이지네이션</t>
        </is>
      </c>
      <c r="B8" s="12" t="inlineStr">
        <is>
          <t>limit 경계, next 순회 완전성, continuation token 만료</t>
        </is>
      </c>
      <c r="C8" s="12" t="inlineStr">
        <is>
          <t>TC-PGN-001 ~ TC-PGN-004</t>
        </is>
      </c>
      <c r="D8" s="14" t="n"/>
    </row>
    <row r="9" ht="32" customHeight="1">
      <c r="A9" s="6" t="inlineStr">
        <is>
          <t>레이트리밋·쿼터</t>
        </is>
      </c>
      <c r="B9" s="12" t="inlineStr">
        <is>
          <t>429 두 종류 구분, 토큰 버킷 회복, 채널·메서드 단위, 월 한도 조회</t>
        </is>
      </c>
      <c r="C9" s="12" t="inlineStr">
        <is>
          <t>TC-RLM-001 ~ TC-RLM-006, TC-MLT-006</t>
        </is>
      </c>
      <c r="D9" s="14" t="n"/>
    </row>
    <row r="10" ht="32" customHeight="1">
      <c r="A10" s="6" t="inlineStr">
        <is>
          <t>웹훅 보안(서명)</t>
        </is>
      </c>
      <c r="B10" s="12" t="inlineStr">
        <is>
          <t>HMAC-SHA256 원문 검증, 불일치·누락 거부, secret 교체, IP 제한 금지</t>
        </is>
      </c>
      <c r="C10" s="12" t="inlineStr">
        <is>
          <t>TC-WHK-002 ~ TC-WHK-005, TC-WHK-007, TC-SEC-002/005/006</t>
        </is>
      </c>
      <c r="D10" s="14" t="n"/>
    </row>
    <row r="11" ht="32" customHeight="1">
      <c r="A11" s="6" t="inlineStr">
        <is>
          <t>웹훅 신뢰성</t>
        </is>
      </c>
      <c r="B11" s="12" t="inlineStr">
        <is>
          <t>200 즉시 응답, 재전송 동일성, webhookEventId 중복 제거, timestamp 순서</t>
        </is>
      </c>
      <c r="C11" s="12" t="inlineStr">
        <is>
          <t>TC-WHK-006, TC-WHK-010, TC-WHS-005 ~ TC-WHS-007, TC-RPL-005</t>
        </is>
      </c>
      <c r="D11" s="14" t="n"/>
    </row>
    <row r="12" ht="32" customHeight="1">
      <c r="A12" s="6" t="inlineStr">
        <is>
          <t>발송 성공 ≠ 도달</t>
        </is>
      </c>
      <c r="B12" s="12" t="inlineStr">
        <is>
          <t>차단·탈퇴·미친구 200 미도달, multicast 원자성, 7일 창</t>
        </is>
      </c>
      <c r="C12" s="12" t="inlineStr">
        <is>
          <t>TC-PSH-003 ~ TC-PSH-006, TC-MLT-004</t>
        </is>
      </c>
      <c r="D12" s="14" t="n"/>
    </row>
    <row r="13" ht="32" customHeight="1">
      <c r="A13" s="6" t="inlineStr">
        <is>
          <t>호환성·관측성</t>
        </is>
      </c>
      <c r="B13" s="12" t="inlineStr">
        <is>
          <t>비파괴 변경 내성, request id·로그 보관·마스킹</t>
        </is>
      </c>
      <c r="C13" s="12" t="inlineStr">
        <is>
          <t>TC-CMN-007, TC-CMN-008, TC-WHK-011, TC-SEC-003, TC-SEC-004</t>
        </is>
      </c>
      <c r="D13" s="14" t="n"/>
    </row>
    <row r="15">
      <c r="A15" s="10" t="inlineStr">
        <is>
          <t>※ 플랫폼 API 테스트 관점 목록. 각 관점이 최소 1개 TC로 연결되도록 설계. 다른 공개 API 설계에 재사용 가능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  <col width="8" customWidth="1" min="4" max="4"/>
    <col width="8" customWidth="1" min="5" max="5"/>
    <col width="22" customWidth="1" min="6" max="6"/>
    <col width="40" customWidth="1" min="7" max="7"/>
    <col width="30" customWidth="1" min="8" max="8"/>
    <col width="30" customWidth="1" min="9" max="9"/>
    <col width="8" customWidth="1" min="10" max="10"/>
    <col width="22" customWidth="1" min="11" max="11"/>
    <col width="9" customWidth="1" min="12" max="12"/>
    <col width="11" customWidth="1" min="13" max="13"/>
    <col width="16" customWidth="1" min="14" max="14"/>
  </cols>
  <sheetData>
    <row r="1">
      <c r="A1" s="5" t="inlineStr">
        <is>
          <t>결함 ID</t>
        </is>
      </c>
      <c r="B1" s="5" t="inlineStr">
        <is>
          <t>TC ID</t>
        </is>
      </c>
      <c r="C1" s="5" t="inlineStr">
        <is>
          <t>제목</t>
        </is>
      </c>
      <c r="D1" s="5" t="inlineStr">
        <is>
          <t>심각도</t>
        </is>
      </c>
      <c r="E1" s="5" t="inlineStr">
        <is>
          <t>우선순위</t>
        </is>
      </c>
      <c r="F1" s="5" t="inlineStr">
        <is>
          <t>환경(채널/엔드포인트/SDK 버전)</t>
        </is>
      </c>
      <c r="G1" s="5" t="inlineStr">
        <is>
          <t>재현 절차</t>
        </is>
      </c>
      <c r="H1" s="5" t="inlineStr">
        <is>
          <t>기대 결과</t>
        </is>
      </c>
      <c r="I1" s="5" t="inlineStr">
        <is>
          <t>실제 결과</t>
        </is>
      </c>
      <c r="J1" s="5" t="inlineStr">
        <is>
          <t>재현율</t>
        </is>
      </c>
      <c r="K1" s="5" t="inlineStr">
        <is>
          <t>첨부(X-Line-Request-Id·로그)</t>
        </is>
      </c>
      <c r="L1" s="5" t="inlineStr">
        <is>
          <t>상태</t>
        </is>
      </c>
      <c r="M1" s="5" t="inlineStr">
        <is>
          <t>등록일</t>
        </is>
      </c>
      <c r="N1" s="5" t="inlineStr">
        <is>
          <t>비고</t>
        </is>
      </c>
    </row>
    <row r="2" ht="60" customHeight="1">
      <c r="A2" s="15" t="inlineStr">
        <is>
          <t>DEF-000</t>
        </is>
      </c>
      <c r="B2" s="15" t="inlineStr">
        <is>
          <t>TC-IDM-001</t>
        </is>
      </c>
      <c r="C2" s="16" t="inlineStr">
        <is>
          <t>(예시) 같은 리트라이 키 재요청이 409가 아닌 200으로 처리되어 메시지가 2건 도달</t>
        </is>
      </c>
      <c r="D2" s="15" t="inlineStr">
        <is>
          <t>S1</t>
        </is>
      </c>
      <c r="E2" s="15" t="inlineStr">
        <is>
          <t>P1</t>
        </is>
      </c>
      <c r="F2" s="16" t="inlineStr">
        <is>
          <t>CH1 / POST /v2/bot/message/push / httpx 0.27</t>
        </is>
      </c>
      <c r="G2" s="16" t="inlineStr">
        <is>
          <t>1. push + X-Line-Retry-Key(UUID) → 200
2. 같은 본문·키로 10초 후 재요청
3. U1 앱에서 도달 건수 확인</t>
        </is>
      </c>
      <c r="H2" s="16" t="inlineStr">
        <is>
          <t>409 + X-Line-Accepted-Request-Id, 도달 1건</t>
        </is>
      </c>
      <c r="I2" s="16" t="inlineStr">
        <is>
          <t>200, sentMessages.id가 다른 값, 도달 2건</t>
        </is>
      </c>
      <c r="J2" s="15" t="inlineStr">
        <is>
          <t>3/3</t>
        </is>
      </c>
      <c r="K2" s="16" t="inlineStr">
        <is>
          <t>req-id a1b2…, b3c4… / push.log</t>
        </is>
      </c>
      <c r="L2" s="15" t="inlineStr">
        <is>
          <t>신규</t>
        </is>
      </c>
      <c r="M2" s="15" t="inlineStr">
        <is>
          <t>2026-10-26</t>
        </is>
      </c>
      <c r="N2" s="16" t="inlineStr">
        <is>
          <t>예시 행 — 실제 결함 등록 시 삭제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5">
      <c r="A25" s="11" t="inlineStr">
        <is>
          <t>심각도 기준</t>
        </is>
      </c>
    </row>
    <row r="26">
      <c r="A26" s="6" t="inlineStr">
        <is>
          <t>S1</t>
        </is>
      </c>
      <c r="B26" s="12" t="inlineStr">
        <is>
          <t>중복 발송, 메시지 유실, 서명 미검증으로 위조 웹훅 처리, 토큰·secret 노출</t>
        </is>
      </c>
      <c r="C26" s="2" t="n"/>
      <c r="D26" s="2" t="n"/>
      <c r="E26" s="2" t="n"/>
      <c r="F26" s="2" t="n"/>
      <c r="G26" s="3" t="n"/>
    </row>
    <row r="27">
      <c r="A27" s="6" t="inlineStr">
        <is>
          <t>S2</t>
        </is>
      </c>
      <c r="B27" s="12" t="inlineStr">
        <is>
          <t>계약 위반(상태 코드·오류 포맷 불일치), 경계값 오판정, 재시도 정책 오동작</t>
        </is>
      </c>
      <c r="C27" s="2" t="n"/>
      <c r="D27" s="2" t="n"/>
      <c r="E27" s="2" t="n"/>
      <c r="F27" s="2" t="n"/>
      <c r="G27" s="3" t="n"/>
    </row>
    <row r="28">
      <c r="A28" s="6" t="inlineStr">
        <is>
          <t>S3</t>
        </is>
      </c>
      <c r="B28" s="12" t="inlineStr">
        <is>
          <t>오류 메시지 문구·필드명 불일치, 우회 가능한 클라이언트 이상</t>
        </is>
      </c>
      <c r="C28" s="2" t="n"/>
      <c r="D28" s="2" t="n"/>
      <c r="E28" s="2" t="n"/>
      <c r="F28" s="2" t="n"/>
      <c r="G28" s="3" t="n"/>
    </row>
    <row r="29">
      <c r="A29" s="6" t="inlineStr">
        <is>
          <t>S4</t>
        </is>
      </c>
      <c r="B29" s="12" t="inlineStr">
        <is>
          <t>개선 제안, 로그 형식 등 사소한 사항</t>
        </is>
      </c>
      <c r="C29" s="2" t="n"/>
      <c r="D29" s="2" t="n"/>
      <c r="E29" s="2" t="n"/>
      <c r="F29" s="2" t="n"/>
      <c r="G29" s="3" t="n"/>
    </row>
  </sheetData>
  <mergeCells count="4">
    <mergeCell ref="B26:G26"/>
    <mergeCell ref="B28:G28"/>
    <mergeCell ref="B27:G27"/>
    <mergeCell ref="B29:G29"/>
  </mergeCells>
  <dataValidations count="3">
    <dataValidation sqref="D2:D22" showDropDown="0" showInputMessage="0" showErrorMessage="0" allowBlank="1" type="list">
      <formula1>"S1,S2,S3,S4"</formula1>
    </dataValidation>
    <dataValidation sqref="E2:E22" showDropDown="0" showInputMessage="0" showErrorMessage="0" allowBlank="1" type="list">
      <formula1>"P1,P2,P3"</formula1>
    </dataValidation>
    <dataValidation sqref="L2:L22" showDropDown="0" showInputMessage="0" showErrorMessage="0" allowBlank="1" type="list">
      <formula1>"신규,확인,수정중,재검증,종료,보류"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2026-10-25T13:38:35Z</dcterms:created>
  <dcterms:modified xsi:type="dcterms:W3CDTF">2026-10-25T13:38:35Z</dcterms:modified>
</cp:coreProperties>
</file>